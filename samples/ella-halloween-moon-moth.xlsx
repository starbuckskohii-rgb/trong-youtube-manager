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ich ban" sheetId="1" state="visible" r:id="rId3"/>
    <sheet name="Chi tiet" sheetId="2" state="visible" r:id="rId4"/>
    <sheet name="Hoi" sheetId="3" state="visible" r:id="rId5"/>
    <sheet name="Nhan vat" sheetId="4" state="visible" r:id="rId6"/>
    <sheet name="Boi canh" sheetId="5" state="visible" r:id="rId7"/>
    <sheet name="Tu vung" sheetId="6" state="visible" r:id="rId8"/>
    <sheet name="Huong dan"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H1" authorId="0">
      <text>
        <r>
          <rPr>
            <sz val="10"/>
            <rFont val="Arial"/>
            <family val="2"/>
          </rPr>
          <t xml:space="preserve">Giá trị nhập (chữ xanh): số từ ÷ 1,7 + 0,5 giây mỗi lần ngắt câu + 1,5 giây đệm; cảnh không thoại mặc định 6 giây. Tool sẽ tính lại.</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Giá trị nhập (chữ xanh): tính từ mốc thời gian của từng HỒI trong kịch bản.</t>
        </r>
      </text>
    </comment>
  </commentList>
</comments>
</file>

<file path=xl/sharedStrings.xml><?xml version="1.0" encoding="utf-8"?>
<sst xmlns="http://schemas.openxmlformats.org/spreadsheetml/2006/main" count="441" uniqueCount="323">
  <si>
    <t xml:space="preserve">STT</t>
  </si>
  <si>
    <t xml:space="preserve">Cảnh</t>
  </si>
  <si>
    <t xml:space="preserve">Thoại</t>
  </si>
  <si>
    <t xml:space="preserve">001</t>
  </si>
  <si>
    <t xml:space="preserve">[Hồi 1 – CHIẾC VÁY ÁNH TRĂNG] Cảnh 001 – Halloween Surprise [HÀI HƯỚC]
Hành lang trường học trang trí bí ngô và dơi giấy. Oliver bất ngờ nhảy ra sau chiếc bí ngô lớn, đeo mặt nạ ma ngộ nghĩnh.</t>
  </si>
  <si>
    <t xml:space="preserve">Oliver: Boo! Happy Halloween, Ella!</t>
  </si>
  <si>
    <t xml:space="preserve">002</t>
  </si>
  <si>
    <t xml:space="preserve">[Hồi 1 – CHIẾC VÁY ÁNH TRĂNG] Cảnh 002 – The Special Prize
Ella nhìn thấy tấm áp phích quảng cáo đêm dạ hội Halloween, đặc biệt chú ý đến giải thưởng trang phục sáng tạo nhất.</t>
  </si>
  <si>
    <t xml:space="preserve">Ella: Wow! I want to join the Halloween costume contest!</t>
  </si>
  <si>
    <t xml:space="preserve">003</t>
  </si>
  <si>
    <t xml:space="preserve">[Hồi 1 – CHIẾC VÁY ÁNH TRĂNG] Cảnh 003 – A Creative Challenge
Ms. Rose đứng trước bảng thông báo, chỉ vào hình chiếc cúp hình mặt trăng.</t>
  </si>
  <si>
    <t xml:space="preserve">Ms. Rose: Remember, the best costume needs a creative idea!</t>
  </si>
  <si>
    <t xml:space="preserve">004</t>
  </si>
  <si>
    <t xml:space="preserve">[Hồi 1 – CHIẾC VÁY ÁNH TRĂNG] Cảnh 004 – Dress Shopping
Tại cửa hàng trang phục, Ella cùng Mom nhìn những hàng váy lộng lẫy, đủ màu sắc.</t>
  </si>
  <si>
    <t xml:space="preserve">Mom: Ella, choose a dress that feels right for you.</t>
  </si>
  <si>
    <t xml:space="preserve">005</t>
  </si>
  <si>
    <t xml:space="preserve">[Hồi 1 – CHIẾC VÁY ÁNH TRĂNG] Cảnh 005 – Pumpkin Boy [HÀI HƯỚC]
Oliver chui vào một bộ đồ bí ngô quá rộng, lắc lư trước gương.</t>
  </si>
  <si>
    <t xml:space="preserve">Oliver: Look at me! I am a giant pumpkin!</t>
  </si>
  <si>
    <t xml:space="preserve">006</t>
  </si>
  <si>
    <t xml:space="preserve">[Hồi 1 – CHIẾC VÁY ÁNH TRĂNG] Cảnh 006 – Not My Dress
Ella thử chiếc váy xanh lá lấp lánh nhưng lắc đầu.</t>
  </si>
  <si>
    <t xml:space="preserve">Ella: It is pretty, but it is not my style.</t>
  </si>
  <si>
    <t xml:space="preserve">007</t>
  </si>
  <si>
    <t xml:space="preserve">[Hồi 1 – CHIẾC VÁY ÁNH TRĂNG] Cảnh 007 – A Little Discovery
Dad tìm thấy chiếc váy dạ hội xanh đậm đơn giản ở góc cửa hàng.</t>
  </si>
  <si>
    <t xml:space="preserve">Dad: How about this blue dress, Ella?</t>
  </si>
  <si>
    <t xml:space="preserve">008</t>
  </si>
  <si>
    <t xml:space="preserve">[Hồi 1 – CHIẾC VÁY ÁNH TRĂNG] Cảnh 008 – The Night Sky
Ella áp chiếc váy trước gương. Cô thích màu xanh như bầu trời đêm.</t>
  </si>
  <si>
    <t xml:space="preserve">Ella: Oh, Dad! It looks like the night sky!</t>
  </si>
  <si>
    <t xml:space="preserve">009</t>
  </si>
  <si>
    <t xml:space="preserve">[Hồi 1 – CHIẾC VÁY ÁNH TRĂNG] Cảnh 009 – The Silver Cape
Mom tìm thấy một áo choàng bạc mỏng trong giỏ phụ kiện.</t>
  </si>
  <si>
    <t xml:space="preserve">Mom: Look! This silver cape looks beautiful with your dress.</t>
  </si>
  <si>
    <t xml:space="preserve">010</t>
  </si>
  <si>
    <t xml:space="preserve">[Hồi 1 – CHIẾC VÁY ÁNH TRĂNG] Cảnh 010 – A Funny Ghost [HÀI HƯỚC]
Oliver kéo áo choàng bạc lên đầu, giả làm ma.</t>
  </si>
  <si>
    <t xml:space="preserve">Oliver: Is this a cape or a ghost blanket?</t>
  </si>
  <si>
    <t xml:space="preserve">011</t>
  </si>
  <si>
    <t xml:space="preserve">[Hồi 1 – CHIẾC VÁY ÁNH TRĂNG] Cảnh 011 – Ella's Idea
Ella mặc thử váy cùng áo choàng, tạo dáng như nàng tiên.</t>
  </si>
  <si>
    <t xml:space="preserve">Ella: I know! I will be the Moon Fairy!</t>
  </si>
  <si>
    <t xml:space="preserve">012</t>
  </si>
  <si>
    <t xml:space="preserve">[Hồi 1 – CHIẾC VÁY ÁNH TRĂNG] Cảnh 012 – Making the Costume
Ở nhà, Ella gắn những ngôi sao bạc nhỏ lên váy. Mom giúp cố định áo choàng. Oliver đứng cạnh ngắm nhìn.</t>
  </si>
  <si>
    <t xml:space="preserve">Mom: These little stars make your dress look magical!</t>
  </si>
  <si>
    <t xml:space="preserve">013</t>
  </si>
  <si>
    <t xml:space="preserve">[Hồi 1 – CHIẾC VÁY ÁNH TRĂNG] Cảnh 013 – The Secret Lights
Dad hỗ trợ chuẩn bị sân khấu tại trường. Ông bật thử hệ thống đèn blacklight màu tím xanh trên khu vực biểu diễn.</t>
  </si>
  <si>
    <t xml:space="preserve">Dad: These lights make bright colors glow. Amazing!</t>
  </si>
  <si>
    <t xml:space="preserve">014</t>
  </si>
  <si>
    <t xml:space="preserve">[Hồi 2 – SỰ GHEN TỊ TRONG ĐÊM HALLOWEEN] Cảnh 014 – Welcome to Halloween
Gia đình bước vào hội trường trang trí lâu đài ma, bí ngô, mạng nhện và ánh đèn tím cam.</t>
  </si>
  <si>
    <t xml:space="preserve">Oliver: Wow! This place looks like a real haunted castle!</t>
  </si>
  <si>
    <t xml:space="preserve">015</t>
  </si>
  <si>
    <t xml:space="preserve">[Hồi 2 – SỰ GHEN TỊ TRONG ĐÊM HALLOWEEN] Cảnh 015 – The Pumpkin Dance [HÀI HƯỚC]
Oliver nhảy múa trong bộ đồ bí ngô, suýt va vào một quả bí ngô trang trí nhưng kịp dừng lại.</t>
  </si>
  <si>
    <t xml:space="preserve">Ella: Oliver! You are the funniest pumpkin tonight!</t>
  </si>
  <si>
    <t xml:space="preserve">016</t>
  </si>
  <si>
    <t xml:space="preserve">[Hồi 2 – SỰ GHEN TỊ TRONG ĐÊM HALLOWEEN] Cảnh 016 – The Moon Fairy Arrives
Ella bước vào với váy xanh đậm và áo choàng bạc dài. Những ngôi sao nhỏ phản chiếu ánh sáng dịu.</t>
  </si>
  <si>
    <t xml:space="preserve">Dad: My little Moon Fairy looks wonderful!</t>
  </si>
  <si>
    <t xml:space="preserve">017</t>
  </si>
  <si>
    <t xml:space="preserve">[Hồi 2 – SỰ GHEN TỊ TRONG ĐÊM HALLOWEEN] Cảnh 017 – Everyone Loves Ella
Ms. Rose và vài bạn học nhìn Ella đầy ngạc nhiên.</t>
  </si>
  <si>
    <t xml:space="preserve">Ms. Rose: Ella, your costume is lovely! Did you make those stars?</t>
  </si>
  <si>
    <t xml:space="preserve">018</t>
  </si>
  <si>
    <t xml:space="preserve">[Hồi 2 – SỰ GHEN TỊ TRONG ĐÊM HALLOWEEN] Cảnh 018 – Ivy Feels Jealous [KỊCH TÍNH]
Ivy mặc chiếc váy phù thủy tím đen cầu kỳ, đeo vương miện đen. Cô nhìn mọi người tập trung quanh Ella.</t>
  </si>
  <si>
    <t xml:space="preserve">Ivy: Why is everyone looking at Ella, not me?</t>
  </si>
  <si>
    <t xml:space="preserve">019</t>
  </si>
  <si>
    <t xml:space="preserve">[Hồi 2 – SỰ GHEN TỊ TRONG ĐÊM HALLOWEEN] Cảnh 019 – A Kind Compliment
Ella chủ động đến chào Ivy, vui vẻ ngắm bộ trang phục của bạn.</t>
  </si>
  <si>
    <t xml:space="preserve">Ella: Ivy, your witch dress is beautiful too!</t>
  </si>
  <si>
    <t xml:space="preserve">020</t>
  </si>
  <si>
    <t xml:space="preserve">[Hồi 2 – SỰ GHEN TỊ TRONG ĐÊM HALLOWEEN] Cảnh 020 – An Unkind Thought
Ivy quay đi, nhìn áo choàng bạc của Ella. Sự ghen tị hiện rõ trên khuôn mặt.</t>
  </si>
  <si>
    <t xml:space="preserve">Ivy: She thinks she is special. I wanted that attention!</t>
  </si>
  <si>
    <t xml:space="preserve">021</t>
  </si>
  <si>
    <t xml:space="preserve">[Hồi 2 – SỰ GHEN TỊ TRONG ĐÊM HALLOWEEN] Cảnh 021 – A Family Photo
Oliver cầm điện thoại của Dad, nhờ cả nhà tạo dáng dưới mô hình mặt trăng treo ở sảnh.</t>
  </si>
  <si>
    <t xml:space="preserve">Oliver: Ella, turn around! Let me take your picture!</t>
  </si>
  <si>
    <t xml:space="preserve">022</t>
  </si>
  <si>
    <t xml:space="preserve">[Hồi 2 – SỰ GHEN TỊ TRONG ĐÊM HALLOWEEN] Cảnh 022 – The Silver Cape
Ella xoay nhẹ để áo choàng bạc tung ra phía sau. Ivy từ xa quan sát phần đuôi áo choàng đang kéo sát mặt sàn.</t>
  </si>
  <si>
    <t xml:space="preserve">Ella: Look! My silver cape is flying like moonlight!</t>
  </si>
  <si>
    <t xml:space="preserve">023</t>
  </si>
  <si>
    <t xml:space="preserve">[Hồi 2 – SỰ GHEN TỊ TRONG ĐÊM HALLOWEEN] Cảnh 023 – Ivy's Bad Choice [KỊCH TÍNH]
Khi Ella quay đi, Ivy cố tình đặt chân lên phần cuối áo choàng bạc, giữ chặt nó dưới giày.</t>
  </si>
  <si>
    <t xml:space="preserve">Ivy: Let's see what happens to her beautiful cape.</t>
  </si>
  <si>
    <t xml:space="preserve">024</t>
  </si>
  <si>
    <t xml:space="preserve">[Hồi 2 – SỰ GHEN TỊ TRONG ĐÊM HALLOWEEN] Cảnh 024 – The Terrible Tear [KHÔNG THOẠI]
Ella bước tiếp. Áo choàng bị giữ lại đột ngột và rách thành một đường dài. Tiếng vải xé vang lên, Ella dừng lại sững sờ.</t>
  </si>
  <si>
    <t xml:space="preserve">025</t>
  </si>
  <si>
    <t xml:space="preserve">[Hồi 2 – SỰ GHEN TỊ TRONG ĐÊM HALLOWEEN] Cảnh 025 – Ella's Broken Dream
Ella nhìn mảnh vải rách trong tay. Chiếc áo choàng từng rất đẹp giờ bị rách hai bên.</t>
  </si>
  <si>
    <t xml:space="preserve">Ella: Oh no! My beautiful cape! It is ruined!</t>
  </si>
  <si>
    <t xml:space="preserve">026</t>
  </si>
  <si>
    <t xml:space="preserve">[Hồi 2 – SỰ GHEN TỊ TRONG ĐÊM HALLOWEEN] Cảnh 026 – Ivy Walks Away
Ivy lùi về phía bàn trang trí, che giấu vẻ đắc ý.</t>
  </si>
  <si>
    <t xml:space="preserve">Ivy: Now she cannot be the Moon Fairy anymore.</t>
  </si>
  <si>
    <t xml:space="preserve">027</t>
  </si>
  <si>
    <t xml:space="preserve">[Hồi 2 – SỰ GHEN TỊ TRONG ĐÊM HALLOWEEN] Cảnh 027 – Mom Takes Ella Aside
Mom đến bên Ella, nhẹ nhàng đưa con vào phòng chuẩn bị phía sau sân khấu.</t>
  </si>
  <si>
    <t xml:space="preserve">Mom: Come with me, Ella. We need some time to think.</t>
  </si>
  <si>
    <t xml:space="preserve">028</t>
  </si>
  <si>
    <t xml:space="preserve">[Hồi 3 – ĐÔI CÁNH BƯỚM ĐÊM] Cảnh 028 – Ella Wants to Quit
Ella ngồi trong phòng chuẩn bị, cầm áo choàng bạc rách, mắt ngấn nước.</t>
  </si>
  <si>
    <t xml:space="preserve">Ella: I cannot wear this. I want to go home.</t>
  </si>
  <si>
    <t xml:space="preserve">029</t>
  </si>
  <si>
    <t xml:space="preserve">[Hồi 3 – ĐÔI CÁNH BƯỚM ĐÊM] Cảnh 029 – Oliver's Little Gift
Oliver ngồi xuống cạnh chị, cởi chiếc túi phụ kiện bí ngô của mình.</t>
  </si>
  <si>
    <t xml:space="preserve">Oliver: Ella, you can use my Halloween decorations.</t>
  </si>
  <si>
    <t xml:space="preserve">030</t>
  </si>
  <si>
    <t xml:space="preserve">[Hồi 3 – ĐÔI CÁNH BƯỚM ĐÊM] Cảnh 030 – Dad's Feelings
Dad ngồi xuống ngang tầm mắt Ella. Ông nhìn con và nói thật về cảm xúc của mình.</t>
  </si>
  <si>
    <t xml:space="preserve">Dad: I was scared when I saw you cry.</t>
  </si>
  <si>
    <t xml:space="preserve">031</t>
  </si>
  <si>
    <t xml:space="preserve">[Hồi 3 – ĐÔI CÁNH BƯỚM ĐÊM] Cảnh 031 – A New Beginning
Mom đặt hai phần áo choàng bạc lên bàn, mở rộng chúng ra.</t>
  </si>
  <si>
    <t xml:space="preserve">Mom: We cannot change the past. But we can try something new.</t>
  </si>
  <si>
    <t xml:space="preserve">032</t>
  </si>
  <si>
    <t xml:space="preserve">[Hồi 3 – ĐÔI CÁNH BƯỚM ĐÊM] Cảnh 032 – Two Strange Shapes
Ella quan sát hai mảnh vải bạc trải đối xứng. Cô kéo nhẹ hai mép vải ra như đôi cánh.</t>
  </si>
  <si>
    <t xml:space="preserve">Ella: Wait! These two pieces look like wings!</t>
  </si>
  <si>
    <t xml:space="preserve">033</t>
  </si>
  <si>
    <t xml:space="preserve">[Hồi 3 – ĐÔI CÁNH BƯỚM ĐÊM] Cảnh 033 – Oliver's Funny Idea [HÀI HƯỚC]
Oliver giơ hai tay lên và chạy vòng nhỏ, giả làm con dơi.</t>
  </si>
  <si>
    <t xml:space="preserve">Oliver: Wings? Like a big Halloween bat?</t>
  </si>
  <si>
    <t xml:space="preserve">034</t>
  </si>
  <si>
    <t xml:space="preserve">[Hồi 3 – ĐÔI CÁNH BƯỚM ĐÊM] Cảnh 034 – The Moon Moth Idea
Ella nhìn hình con bướm đêm trên đồ trang trí Halloween. Cô chợt nảy ra một thiết kế mới.</t>
  </si>
  <si>
    <t xml:space="preserve">Ella: No! I can become a Moon Moth!</t>
  </si>
  <si>
    <t xml:space="preserve">035</t>
  </si>
  <si>
    <t xml:space="preserve">[Hồi 3 – ĐÔI CÁNH BƯỚM ĐÊM] Cảnh 035 – Building the Wings
Mom gấp và ghép hai mảnh áo choàng thành hai cánh cân đối, giúp Ella cố định chúng bằng kẹp vải an toàn.</t>
  </si>
  <si>
    <t xml:space="preserve">Mom: Let's attach these wings to your dress and sleeves.</t>
  </si>
  <si>
    <t xml:space="preserve">036</t>
  </si>
  <si>
    <t xml:space="preserve">[Hồi 3 – ĐÔI CÁNH BƯỚM ĐÊM] Cảnh 036 – Dad Checks the Costume
Dad thử độ chắc chắn của những chiếc kẹp và kiểm tra Ella có thể giơ tay thoải mái.</t>
  </si>
  <si>
    <t xml:space="preserve">Dad: Good! Now you can open your wings safely.</t>
  </si>
  <si>
    <t xml:space="preserve">037</t>
  </si>
  <si>
    <t xml:space="preserve">[Hồi 3 – ĐÔI CÁNH BƯỚM ĐÊM] Cảnh 037 – Oliver Shares His Stars
Oliver lấy những ngôi sao bằng vật liệu dạ quang từ đồ trang trí của mình, đặt lên bàn cho Ella.</t>
  </si>
  <si>
    <t xml:space="preserve">Oliver: Take my glowing stars! They are perfect for your wings!</t>
  </si>
  <si>
    <t xml:space="preserve">038</t>
  </si>
  <si>
    <t xml:space="preserve">[Hồi 3 – ĐÔI CÁNH BƯỚM ĐÊM] Cảnh 038 – A New Costume
Ella tự dán các ngôi sao, những đường băng dạ quang và họa tiết mặt trăng lên đôi cánh bạc.</t>
  </si>
  <si>
    <t xml:space="preserve">Ella: This is not my old costume. This is my own idea!</t>
  </si>
  <si>
    <t xml:space="preserve">039</t>
  </si>
  <si>
    <t xml:space="preserve">[Hồi 3 – ĐÔI CÁNH BƯỚM ĐÊM] Cảnh 039 – The First Glow
Dad đưa Ella đến góc thử ánh sáng cạnh sân khấu. Dưới đèn blacklight, những đường dạ quang trên đôi cánh phát sáng.</t>
  </si>
  <si>
    <t xml:space="preserve">Dad: Look, Ella! Your Moon Moth can shine in the dark!</t>
  </si>
  <si>
    <t xml:space="preserve">040</t>
  </si>
  <si>
    <t xml:space="preserve">[Hồi 4 – ELLA TỎA SÁNG] Cảnh 040 – The Halloween Parade
Ms. Rose bước ra sân khấu. Các bạn nhỏ xếp hàng chuẩn bị trình diễn trang phục.</t>
  </si>
  <si>
    <t xml:space="preserve">Ms. Rose: Welcome, everyone! Our Halloween costume parade starts now!</t>
  </si>
  <si>
    <t xml:space="preserve">041</t>
  </si>
  <si>
    <t xml:space="preserve">[Hồi 4 – ELLA TỎA SÁNG] Cảnh 041 – Ivy Takes the Stage
Ivy bước lên sân khấu, xoay người khoe chiếc váy phù thủy đắt tiền. Cô nhìn khán giả đầy tự tin.</t>
  </si>
  <si>
    <t xml:space="preserve">Ivy: Look at my dress! I will win this contest!</t>
  </si>
  <si>
    <t xml:space="preserve">042</t>
  </si>
  <si>
    <t xml:space="preserve">[Hồi 4 – ELLA TỎA SÁNG] Cảnh 042 – Oliver Helps Ella
Ở phía sau sân khấu, Oliver kiểm tra phần cánh của chị và giơ ngón tay cái.</t>
  </si>
  <si>
    <t xml:space="preserve">Oliver: Your wings are ready, Ella. You can do it!</t>
  </si>
  <si>
    <t xml:space="preserve">043</t>
  </si>
  <si>
    <t xml:space="preserve">[Hồi 4 – ELLA TỎA SÁNG] Cảnh 043 – One Last Fear
Ella nhìn sân khấu đông người. Cô nắm hai tay vào nhau, hồi hộp.</t>
  </si>
  <si>
    <t xml:space="preserve">Ella: What if people laugh at my new costume?</t>
  </si>
  <si>
    <t xml:space="preserve">044</t>
  </si>
  <si>
    <t xml:space="preserve">[Hồi 4 – ELLA TỎA SÁNG] Cảnh 044 – Dad's Encouragement
Dad mỉm cười và nhẹ nhàng chạm vai Ella.</t>
  </si>
  <si>
    <t xml:space="preserve">Dad: You made something special. Now show everyone your idea!</t>
  </si>
  <si>
    <t xml:space="preserve">045</t>
  </si>
  <si>
    <t xml:space="preserve">[Hồi 4 – ELLA TỎA SÁNG] Cảnh 045 – The Moon Moth Appears
Ella bước ra giữa sân khấu. Cô ngẩng đầu, từ từ giơ hai cánh bạc ra hai bên.</t>
  </si>
  <si>
    <t xml:space="preserve">Ella: I am the Moon Moth. I find light in the dark!</t>
  </si>
  <si>
    <t xml:space="preserve">046</t>
  </si>
  <si>
    <t xml:space="preserve">[Hồi 4 – ELLA TỎA SÁNG] Cảnh 046 – The Magical Reveal [KHÔNG THOẠI]
Đèn sân khấu dịu xuống. Ánh sáng blacklight chiếu lên Ella. Những ngôi sao và đường viền dạ quang trên đôi cánh cùng sáng rực. Ella mở rộng hai tay, xoay nhẹ tại chỗ. Cả hội trường bất ngờ trước hình dáng bướm đêm phát sáng giữa đêm Halloween.</t>
  </si>
  <si>
    <t xml:space="preserve">047</t>
  </si>
  <si>
    <t xml:space="preserve">[Hồi 4 – ELLA TỎA SÁNG] Cảnh 047 – The Big Winner
Ms. Rose giơ chiếc cúp mặt trăng lên, thông báo kết quả giải trang phục sáng tạo nhất.</t>
  </si>
  <si>
    <t xml:space="preserve">Ms. Rose: The Most Creative Costume award goes to... Ella!</t>
  </si>
  <si>
    <t xml:space="preserve">048</t>
  </si>
  <si>
    <t xml:space="preserve">[Hồi 4 – ELLA TỎA SÁNG] Cảnh 048 – Ella's Thank You
Ella nhận cúp, nhìn Mom, Dad và Oliver đang vỗ tay dưới sân khấu.</t>
  </si>
  <si>
    <t xml:space="preserve">Ella: We turned a problem into something new. Thank you, family!</t>
  </si>
  <si>
    <t xml:space="preserve">049a</t>
  </si>
  <si>
    <t xml:space="preserve">[Hồi 4 – ELLA TỎA SÁNG] Cảnh 049 – Ivy Tells the Truth
Ivy tiến đến gặp Ella. Cô cúi đầu, thú nhận hành động phá áo choàng của mình. (Phần 1/2: máy quay tập trung vào Ivy.)</t>
  </si>
  <si>
    <t xml:space="preserve">Ivy: I tore your cape. I was jealous. I'm sorry.</t>
  </si>
  <si>
    <t xml:space="preserve">049b</t>
  </si>
  <si>
    <t xml:space="preserve">[Hồi 4 – ELLA TỎA SÁNG] Cảnh 049 – Ivy Tells the Truth
Ivy tiến đến gặp Ella. Cô cúi đầu, thú nhận hành động phá áo choàng của mình. (Phần 2/2: máy quay tập trung vào Ella.)</t>
  </si>
  <si>
    <t xml:space="preserve">Ella: That hurt me. Please tell the teacher the truth.</t>
  </si>
  <si>
    <t xml:space="preserve">050a</t>
  </si>
  <si>
    <t xml:space="preserve">[Hồi 4 – ELLA TỎA SÁNG] Cảnh 050 – The Halloween Lesson
Cả gia đình đứng trước khu trang trí bí ngô. Ella cầm cúp, Oliver đứng bên cạnh trong bộ đồ bí ngô ngộ nghĩnh. (Phần 1/2: máy quay tập trung vào Mom.)</t>
  </si>
  <si>
    <t xml:space="preserve">Mom: Remember: Be kind. Ask for help. Try a new idea.</t>
  </si>
  <si>
    <t xml:space="preserve">050b</t>
  </si>
  <si>
    <t xml:space="preserve">[Hồi 4 – ELLA TỎA SÁNG] Cảnh 050 – The Halloween Lesson
Cả gia đình đứng trước khu trang trí bí ngô. Ella cầm cúp, Oliver đứng bên cạnh trong bộ đồ bí ngô ngộ nghĩnh. (Phần 2/2: máy quay tập trung vào Oliver.) Sau thoại: Cả gia đình bật cười. Máy quay lùi dần, kết thúc bằng ánh đèn Halloween lung linh.</t>
  </si>
  <si>
    <t xml:space="preserve">Oliver: Next year, I will be a glowing pumpkin!</t>
  </si>
  <si>
    <t xml:space="preserve">Hồi</t>
  </si>
  <si>
    <t xml:space="preserve">Cảnh gốc</t>
  </si>
  <si>
    <t xml:space="preserve">Tiêu đề</t>
  </si>
  <si>
    <t xml:space="preserve">Tag</t>
  </si>
  <si>
    <t xml:space="preserve">Người nói</t>
  </si>
  <si>
    <t xml:space="preserve">Số từ</t>
  </si>
  <si>
    <t xml:space="preserve">Thời lượng ước tính (giây)</t>
  </si>
  <si>
    <t xml:space="preserve">Ghi chú</t>
  </si>
  <si>
    <t xml:space="preserve">Halloween Surprise</t>
  </si>
  <si>
    <t xml:space="preserve">HÀI HƯỚC</t>
  </si>
  <si>
    <t xml:space="preserve">Oliver</t>
  </si>
  <si>
    <t xml:space="preserve">The Special Prize</t>
  </si>
  <si>
    <t xml:space="preserve">Ella</t>
  </si>
  <si>
    <t xml:space="preserve">A Creative Challenge</t>
  </si>
  <si>
    <t xml:space="preserve">Ms. Rose</t>
  </si>
  <si>
    <t xml:space="preserve">Dress Shopping</t>
  </si>
  <si>
    <t xml:space="preserve">Mom</t>
  </si>
  <si>
    <t xml:space="preserve">Pumpkin Boy</t>
  </si>
  <si>
    <t xml:space="preserve">Not My Dress</t>
  </si>
  <si>
    <t xml:space="preserve">A Little Discovery</t>
  </si>
  <si>
    <t xml:space="preserve">Dad</t>
  </si>
  <si>
    <t xml:space="preserve">The Night Sky</t>
  </si>
  <si>
    <t xml:space="preserve">The Silver Cape</t>
  </si>
  <si>
    <t xml:space="preserve">A Funny Ghost</t>
  </si>
  <si>
    <t xml:space="preserve">Ella's Idea</t>
  </si>
  <si>
    <t xml:space="preserve">Making the Costume</t>
  </si>
  <si>
    <t xml:space="preserve">The Secret Lights</t>
  </si>
  <si>
    <t xml:space="preserve">Welcome to Halloween</t>
  </si>
  <si>
    <t xml:space="preserve">Ella xuất hiện ở 014–015 nhưng tới 016 mới "bước vào" với trang phục. Gợi ý: ở 014–015 Ella khoác áo dài che trang phục, tới 016 mới cởi ra. Cảnh có 4 nhân vật (Ella, Oliver, Mom, Dad): chỉ gắn ảnh cho người nói + tối đa 2 người ở tiền cảnh.</t>
  </si>
  <si>
    <t xml:space="preserve">The Pumpkin Dance</t>
  </si>
  <si>
    <t xml:space="preserve">Xem ghi chú 014.</t>
  </si>
  <si>
    <t xml:space="preserve">The Moon Fairy Arrives</t>
  </si>
  <si>
    <t xml:space="preserve">Everyone Loves Ella</t>
  </si>
  <si>
    <t xml:space="preserve">"Vài bạn học" là nhân vật phụ không có ảnh tham chiếu, để ở hậu cảnh.</t>
  </si>
  <si>
    <t xml:space="preserve">Ivy Feels Jealous</t>
  </si>
  <si>
    <t xml:space="preserve">KỊCH TÍNH</t>
  </si>
  <si>
    <t xml:space="preserve">Ivy</t>
  </si>
  <si>
    <t xml:space="preserve">A Kind Compliment</t>
  </si>
  <si>
    <t xml:space="preserve">An Unkind Thought</t>
  </si>
  <si>
    <t xml:space="preserve">A Family Photo</t>
  </si>
  <si>
    <t xml:space="preserve">Cảnh có 4 nhân vật (Ella, Oliver, Mom, Dad): chỉ gắn ảnh cho người nói + tối đa 2 người ở tiền cảnh.</t>
  </si>
  <si>
    <t xml:space="preserve">Ivy's Bad Choice</t>
  </si>
  <si>
    <t xml:space="preserve">The Terrible Tear</t>
  </si>
  <si>
    <t xml:space="preserve">KHÔNG THOẠI</t>
  </si>
  <si>
    <t xml:space="preserve">Không thoại. Âm thanh cần có: tiếng vải rách dài. Mặc định 6 giây, có thể chỉnh.</t>
  </si>
  <si>
    <t xml:space="preserve">Ella's Broken Dream</t>
  </si>
  <si>
    <t xml:space="preserve">Ivy Walks Away</t>
  </si>
  <si>
    <t xml:space="preserve">Mom Takes Ella Aside</t>
  </si>
  <si>
    <t xml:space="preserve">Ella Wants to Quit</t>
  </si>
  <si>
    <t xml:space="preserve">Oliver's Little Gift</t>
  </si>
  <si>
    <t xml:space="preserve">Dad's Feelings</t>
  </si>
  <si>
    <t xml:space="preserve">A New Beginning</t>
  </si>
  <si>
    <t xml:space="preserve">Two Strange Shapes</t>
  </si>
  <si>
    <t xml:space="preserve">Oliver's Funny Idea</t>
  </si>
  <si>
    <t xml:space="preserve">The Moon Moth Idea</t>
  </si>
  <si>
    <t xml:space="preserve">Building the Wings</t>
  </si>
  <si>
    <t xml:space="preserve">Dad Checks the Costume</t>
  </si>
  <si>
    <t xml:space="preserve">Oliver Shares His Stars</t>
  </si>
  <si>
    <t xml:space="preserve">A New Costume</t>
  </si>
  <si>
    <t xml:space="preserve">The First Glow</t>
  </si>
  <si>
    <t xml:space="preserve">The Halloween Parade</t>
  </si>
  <si>
    <t xml:space="preserve">Ivy Takes the Stage</t>
  </si>
  <si>
    <t xml:space="preserve">Oliver Helps Ella</t>
  </si>
  <si>
    <t xml:space="preserve">One Last Fear</t>
  </si>
  <si>
    <t xml:space="preserve">Dad's Encouragement</t>
  </si>
  <si>
    <t xml:space="preserve">The Moon Moth Appears</t>
  </si>
  <si>
    <t xml:space="preserve">The Magical Reveal</t>
  </si>
  <si>
    <t xml:space="preserve">Không thoại, mô tả dài (đèn dịu, cánh phát sáng, xoay người). Nên tăng lên 8 giây.</t>
  </si>
  <si>
    <t xml:space="preserve">The Big Winner</t>
  </si>
  <si>
    <t xml:space="preserve">Ella's Thank You</t>
  </si>
  <si>
    <t xml:space="preserve">Cảnh có 4 nhân vật (Ella, Mom, Dad, Oliver): chỉ gắn ảnh cho người nói + tối đa 2 người ở tiền cảnh.</t>
  </si>
  <si>
    <t xml:space="preserve">Ivy Tells the Truth</t>
  </si>
  <si>
    <t xml:space="preserve">Cảnh 049 có 2 người nói, ước tính ~13 giây &gt; 10 → tách 049a (Ivy) / 049b (Ella).</t>
  </si>
  <si>
    <t xml:space="preserve">Xem ghi chú 049a.</t>
  </si>
  <si>
    <t xml:space="preserve">The Halloween Lesson</t>
  </si>
  <si>
    <t xml:space="preserve">Cảnh 050 có 2 người nói, ước tính &gt; 10 giây → tách 050a (Mom) / 050b (Oliver). Câu "Cả gia đình bật cười. Máy quay lùi dần..." đặt ở 050b. Cảnh có 4 nhân vật (Ella, Oliver, Mom, Dad): chỉ gắn ảnh cho người nói + tối đa 2 người ở tiền cảnh.</t>
  </si>
  <si>
    <t xml:space="preserve">Xem ghi chú 050a. Cảnh có 4 nhân vật (Ella, Oliver, Mom, Dad): chỉ gắn ảnh cho người nói + tối đa 2 người ở tiền cảnh.</t>
  </si>
  <si>
    <t xml:space="preserve">Mốc</t>
  </si>
  <si>
    <t xml:space="preserve">Nội dung</t>
  </si>
  <si>
    <t xml:space="preserve">Mục tiêu (giây)</t>
  </si>
  <si>
    <t xml:space="preserve">Ước tính (giây)</t>
  </si>
  <si>
    <t xml:space="preserve">Chênh lệch (giây)</t>
  </si>
  <si>
    <t xml:space="preserve">CHIẾC VÁY ÁNH TRĂNG</t>
  </si>
  <si>
    <t xml:space="preserve">00:00–01:44</t>
  </si>
  <si>
    <t xml:space="preserve">Chọn váy và chuẩn bị Halloween</t>
  </si>
  <si>
    <t xml:space="preserve">SỰ GHEN TỊ TRONG ĐÊM HALLOWEEN</t>
  </si>
  <si>
    <t xml:space="preserve">01:44–03:36</t>
  </si>
  <si>
    <t xml:space="preserve">Ghen tị và phá váy</t>
  </si>
  <si>
    <t xml:space="preserve">ĐÔI CÁNH BƯỚM ĐÊM</t>
  </si>
  <si>
    <t xml:space="preserve">03:36–05:12</t>
  </si>
  <si>
    <t xml:space="preserve">Sửa váy bằng một ý tưởng hoàn toàn mới</t>
  </si>
  <si>
    <t xml:space="preserve">ELLA TỎA SÁNG</t>
  </si>
  <si>
    <t xml:space="preserve">05:12–06:40</t>
  </si>
  <si>
    <t xml:space="preserve">Giành giải thưởng và bài học</t>
  </si>
  <si>
    <t xml:space="preserve">TỔNG</t>
  </si>
  <si>
    <t xml:space="preserve">Chênh lệch âm = video ngắn hơn mục tiêu. Có thể thêm cảnh phản ứng / cảnh mở bối cảnh không thoại, hoặc tăng thời lượng clip.</t>
  </si>
  <si>
    <t xml:space="preserve">Tên</t>
  </si>
  <si>
    <t xml:space="preserve">Tag trong prompt</t>
  </si>
  <si>
    <t xml:space="preserve">Mô tả (từ kịch bản)</t>
  </si>
  <si>
    <t xml:space="preserve">Trang phục theo đoạn (gợi ý)</t>
  </si>
  <si>
    <t xml:space="preserve">Ảnh nên tải lên</t>
  </si>
  <si>
    <t xml:space="preserve">@Ella</t>
  </si>
  <si>
    <t xml:space="preserve">Cô bé yêu thích thời trang, sáng tạo và giàu cảm xúc.</t>
  </si>
  <si>
    <t xml:space="preserve">A – đồ đi học: 001–003.
B – đồ thường ngày: 004–010, 012 (006 đang thử váy xanh lá lấp lánh; 008 áp váy xanh đậm trước người).
C – thử váy xanh đậm + áo choàng bạc: 011.
D "Moon Fairy" – váy xanh đậm đơn giản gắn sao bạc nhỏ + áo choàng bạc mỏng dài: 014–023.
E – áo choàng bạc bị rách hai bên: 024–034.
F – đang ghép đôi cánh bạc vào váy và tay áo bằng kẹp: 035–037.
G "Moon Moth" hoàn chỉnh – cánh bạc + sao dạ quang + băng dạ quang + họa tiết mặt trăng: 038–050 (cầm cúp mặt trăng từ 048).</t>
  </si>
  <si>
    <t xml:space="preserve">Ảnh nhận diện (chính diện, 3/4, toàn thân). Nên có ảnh trang phục D (Moon Fairy) và G (Moon Moth).</t>
  </si>
  <si>
    <t xml:space="preserve">@Oliver</t>
  </si>
  <si>
    <t xml:space="preserve">Em trai Ella, vui tính, thích Halloween.</t>
  </si>
  <si>
    <t xml:space="preserve">A – đồ đi học + mặt nạ ma ngộ nghĩnh: 001.
B – đồ thường ngày: 004, 010, 012 (005 đang thử bộ đồ bí ngô quá rộng).
C – bộ đồ bí ngô + túi phụ kiện bí ngô: 014–050.</t>
  </si>
  <si>
    <t xml:space="preserve">Ảnh nhận diện + ảnh bộ đồ bí ngô.</t>
  </si>
  <si>
    <t xml:space="preserve">@Mom</t>
  </si>
  <si>
    <t xml:space="preserve">Dịu dàng, khéo tay, luôn khuyến khích con tự giải quyết vấn đề.</t>
  </si>
  <si>
    <t xml:space="preserve">A – thường ngày: 004–012.
B – trang phục dự hội Halloween: 014–050.</t>
  </si>
  <si>
    <t xml:space="preserve">Ảnh nhận diện.</t>
  </si>
  <si>
    <t xml:space="preserve">@Dad</t>
  </si>
  <si>
    <t xml:space="preserve">Vui vẻ, biết cách sử dụng ánh sáng và hỗ trợ các con.</t>
  </si>
  <si>
    <t xml:space="preserve">A – thường ngày: 007–008, 013.
B – trang phục dự hội Halloween: 014–050.</t>
  </si>
  <si>
    <t xml:space="preserve">@Ivy</t>
  </si>
  <si>
    <t xml:space="preserve">Bạn cùng trường, thích nổi bật và dễ ghen tị.</t>
  </si>
  <si>
    <t xml:space="preserve">Váy phù thủy tím đen cầu kỳ + vương miện đen: 018–049.</t>
  </si>
  <si>
    <t xml:space="preserve">Ảnh nhận diện + ảnh váy phù thủy.</t>
  </si>
  <si>
    <t xml:space="preserve">@MsRose</t>
  </si>
  <si>
    <t xml:space="preserve">Giáo viên tổ chức đêm hội Halloween.</t>
  </si>
  <si>
    <t xml:space="preserve">A – đồ đi dạy: 003.
B – trang phục dự hội: 017, 040, 047.</t>
  </si>
  <si>
    <t xml:space="preserve">Đạo cụ</t>
  </si>
  <si>
    <t xml:space="preserve">Cúp hình mặt trăng (003, 047–050); áo choàng bạc (009–034); mô hình mặt trăng treo ở sảnh (021). Nên có ảnh tham chiếu riêng.</t>
  </si>
  <si>
    <t xml:space="preserve">Mã</t>
  </si>
  <si>
    <t xml:space="preserve">Bối cảnh (gợi ý)</t>
  </si>
  <si>
    <t xml:space="preserve">LOC_HALLWAY</t>
  </si>
  <si>
    <t xml:space="preserve">Hành lang trường trang trí bí ngô, dơi giấy; bảng thông báo, áp phích dạ hội Halloween.</t>
  </si>
  <si>
    <t xml:space="preserve">001–003</t>
  </si>
  <si>
    <t xml:space="preserve">LOC_SHOP</t>
  </si>
  <si>
    <t xml:space="preserve">Cửa hàng trang phục: hàng váy lộng lẫy nhiều màu, gương lớn, giỏ phụ kiện.</t>
  </si>
  <si>
    <t xml:space="preserve">004–011</t>
  </si>
  <si>
    <t xml:space="preserve">LOC_HOME</t>
  </si>
  <si>
    <t xml:space="preserve">Nhà Ella: bàn làm đồ thủ công, ánh đèn ấm.</t>
  </si>
  <si>
    <t xml:space="preserve">LOC_STAGE</t>
  </si>
  <si>
    <t xml:space="preserve">Sân khấu chính của hội trường, đèn blacklight tím xanh; góc thử ánh sáng cạnh sân khấu.</t>
  </si>
  <si>
    <t xml:space="preserve">013, 039–041, 045–048</t>
  </si>
  <si>
    <t xml:space="preserve">LOC_HALL</t>
  </si>
  <si>
    <t xml:space="preserve">Hội trường trang trí lâu đài ma: bí ngô, mạng nhện, đèn tím cam; sảnh có mô hình mặt trăng treo; bàn trang trí; khu trang trí bí ngô.</t>
  </si>
  <si>
    <t xml:space="preserve">014–027, 049–050</t>
  </si>
  <si>
    <t xml:space="preserve">LOC_BACKSTAGE</t>
  </si>
  <si>
    <t xml:space="preserve">Phòng chuẩn bị phía sau sân khấu: bàn lớn, gương, đồ trang trí Halloween.</t>
  </si>
  <si>
    <t xml:space="preserve">028–038, 042–044</t>
  </si>
  <si>
    <t xml:space="preserve">Từ</t>
  </si>
  <si>
    <t xml:space="preserve">Nghĩa</t>
  </si>
  <si>
    <t xml:space="preserve">Costume</t>
  </si>
  <si>
    <t xml:space="preserve">Trang phục hóa trang.</t>
  </si>
  <si>
    <t xml:space="preserve">Jealous</t>
  </si>
  <si>
    <t xml:space="preserve">Ghen tị khi người khác có điều mình mong muốn.</t>
  </si>
  <si>
    <t xml:space="preserve">Torn</t>
  </si>
  <si>
    <t xml:space="preserve">Bị rách.</t>
  </si>
  <si>
    <t xml:space="preserve">Creative</t>
  </si>
  <si>
    <t xml:space="preserve">Có ý tưởng mới và độc đáo.</t>
  </si>
  <si>
    <t xml:space="preserve">Glow</t>
  </si>
  <si>
    <t xml:space="preserve">Phát sáng.</t>
  </si>
  <si>
    <t xml:space="preserve">Bài học</t>
  </si>
  <si>
    <t xml:space="preserve">Do not hurt others because you are jealous. When things go wrong, stay calm, ask for help, and use your creativity.</t>
  </si>
  <si>
    <t xml:space="preserve">Từ vựng và bài học dùng làm thẻ chữ khi dựng / mô tả YouTube. Tool KHÔNG tự đặt thành lời thoại.</t>
  </si>
  <si>
    <t xml:space="preserve">HƯỚNG DẪN</t>
  </si>
  <si>
    <t xml:space="preserve">ELLA AND THE HALLOWEEN MOON MOTH – The Halloween Ball – A Family Story</t>
  </si>
  <si>
    <t xml:space="preserve">Sheet "Kich ban" (STT | Cảnh | Thoại) là sheet nạp vào tool. STT là chữ dạng 001, 049a… để sắp xếp đúng.</t>
  </si>
  <si>
    <t xml:space="preserve">Đã kiểm tra bằng code: 50/50 câu thoại trong kịch bản có mặt NGUYÊN VĂN, đúng thứ tự.</t>
  </si>
  <si>
    <t xml:space="preserve">Sheet "Chi tiet": dòng tô vàng có ghi chú cần xem (cảnh tách đôi, cảnh 4 nhân vật, logic liên tục).</t>
  </si>
  <si>
    <t xml:space="preserve">Chữ xanh = giá trị nhập (ước tính); chữ đen = công thức. Sheet "Hoi" so thời lượng ước tính với mốc trong kịch bản.</t>
  </si>
  <si>
    <t xml:space="preserve">Sheet "Nhan vat" và "Boi canh" là gợi ý để chuẩn bị ảnh tham chiếu trước khi chạy tool.</t>
  </si>
</sst>
</file>

<file path=xl/styles.xml><?xml version="1.0" encoding="utf-8"?>
<styleSheet xmlns="http://schemas.openxmlformats.org/spreadsheetml/2006/main">
  <numFmts count="3">
    <numFmt numFmtId="164" formatCode="General"/>
    <numFmt numFmtId="165" formatCode="@"/>
    <numFmt numFmtId="166" formatCode="0.0;\-0.0;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sz val="10"/>
      <name val="Arial"/>
      <family val="2"/>
    </font>
    <font>
      <b val="true"/>
      <sz val="10"/>
      <name val="Arial"/>
      <family val="0"/>
      <charset val="1"/>
    </font>
    <font>
      <i val="true"/>
      <sz val="10"/>
      <name val="Arial"/>
      <family val="0"/>
      <charset val="1"/>
    </font>
    <font>
      <b val="true"/>
      <sz val="12"/>
      <name val="Arial"/>
      <family val="0"/>
      <charset val="1"/>
    </font>
  </fonts>
  <fills count="4">
    <fill>
      <patternFill patternType="none"/>
    </fill>
    <fill>
      <patternFill patternType="gray125"/>
    </fill>
    <fill>
      <patternFill patternType="solid">
        <fgColor rgb="FF2E7D32"/>
        <bgColor rgb="FF008000"/>
      </patternFill>
    </fill>
    <fill>
      <patternFill patternType="solid">
        <fgColor rgb="FFFFF59D"/>
        <bgColor rgb="FFFFFFCC"/>
      </patternFill>
    </fill>
  </fills>
  <borders count="2">
    <border diagonalUp="false" diagonalDown="false">
      <left/>
      <right/>
      <top/>
      <bottom/>
      <diagonal/>
    </border>
    <border diagonalUp="false" diagonalDown="false">
      <left style="thin">
        <color rgb="FFBDBDBD"/>
      </left>
      <right style="thin">
        <color rgb="FFBDBDBD"/>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BDBD"/>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59D"/>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2E7D3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0"/>
    <col collapsed="false" customWidth="true" hidden="false" outlineLevel="0" max="3" min="3" style="0" width="55"/>
  </cols>
  <sheetData>
    <row r="1" customFormat="false" ht="15" hidden="false" customHeight="false" outlineLevel="0" collapsed="false">
      <c r="A1" s="1" t="s">
        <v>0</v>
      </c>
      <c r="B1" s="1" t="s">
        <v>1</v>
      </c>
      <c r="C1" s="1" t="s">
        <v>2</v>
      </c>
    </row>
    <row r="2" customFormat="false" ht="35.05" hidden="false" customHeight="false" outlineLevel="0" collapsed="false">
      <c r="A2" s="2" t="s">
        <v>3</v>
      </c>
      <c r="B2" s="3" t="s">
        <v>4</v>
      </c>
      <c r="C2" s="3" t="s">
        <v>5</v>
      </c>
    </row>
    <row r="3" customFormat="false" ht="35.05" hidden="false" customHeight="false" outlineLevel="0" collapsed="false">
      <c r="A3" s="2" t="s">
        <v>6</v>
      </c>
      <c r="B3" s="3" t="s">
        <v>7</v>
      </c>
      <c r="C3" s="3" t="s">
        <v>8</v>
      </c>
    </row>
    <row r="4" customFormat="false" ht="23.85" hidden="false" customHeight="false" outlineLevel="0" collapsed="false">
      <c r="A4" s="2" t="s">
        <v>9</v>
      </c>
      <c r="B4" s="3" t="s">
        <v>10</v>
      </c>
      <c r="C4" s="3" t="s">
        <v>11</v>
      </c>
    </row>
    <row r="5" customFormat="false" ht="23.85" hidden="false" customHeight="false" outlineLevel="0" collapsed="false">
      <c r="A5" s="2" t="s">
        <v>12</v>
      </c>
      <c r="B5" s="3" t="s">
        <v>13</v>
      </c>
      <c r="C5" s="3" t="s">
        <v>14</v>
      </c>
    </row>
    <row r="6" customFormat="false" ht="23.85" hidden="false" customHeight="false" outlineLevel="0" collapsed="false">
      <c r="A6" s="2" t="s">
        <v>15</v>
      </c>
      <c r="B6" s="3" t="s">
        <v>16</v>
      </c>
      <c r="C6" s="3" t="s">
        <v>17</v>
      </c>
    </row>
    <row r="7" customFormat="false" ht="23.85" hidden="false" customHeight="false" outlineLevel="0" collapsed="false">
      <c r="A7" s="2" t="s">
        <v>18</v>
      </c>
      <c r="B7" s="3" t="s">
        <v>19</v>
      </c>
      <c r="C7" s="3" t="s">
        <v>20</v>
      </c>
    </row>
    <row r="8" customFormat="false" ht="23.85" hidden="false" customHeight="false" outlineLevel="0" collapsed="false">
      <c r="A8" s="2" t="s">
        <v>21</v>
      </c>
      <c r="B8" s="3" t="s">
        <v>22</v>
      </c>
      <c r="C8" s="3" t="s">
        <v>23</v>
      </c>
    </row>
    <row r="9" customFormat="false" ht="23.85" hidden="false" customHeight="false" outlineLevel="0" collapsed="false">
      <c r="A9" s="2" t="s">
        <v>24</v>
      </c>
      <c r="B9" s="3" t="s">
        <v>25</v>
      </c>
      <c r="C9" s="3" t="s">
        <v>26</v>
      </c>
    </row>
    <row r="10" customFormat="false" ht="23.85" hidden="false" customHeight="false" outlineLevel="0" collapsed="false">
      <c r="A10" s="2" t="s">
        <v>27</v>
      </c>
      <c r="B10" s="3" t="s">
        <v>28</v>
      </c>
      <c r="C10" s="3" t="s">
        <v>29</v>
      </c>
    </row>
    <row r="11" customFormat="false" ht="23.85" hidden="false" customHeight="false" outlineLevel="0" collapsed="false">
      <c r="A11" s="2" t="s">
        <v>30</v>
      </c>
      <c r="B11" s="3" t="s">
        <v>31</v>
      </c>
      <c r="C11" s="3" t="s">
        <v>32</v>
      </c>
    </row>
    <row r="12" customFormat="false" ht="23.85" hidden="false" customHeight="false" outlineLevel="0" collapsed="false">
      <c r="A12" s="2" t="s">
        <v>33</v>
      </c>
      <c r="B12" s="3" t="s">
        <v>34</v>
      </c>
      <c r="C12" s="3" t="s">
        <v>35</v>
      </c>
    </row>
    <row r="13" customFormat="false" ht="35.05" hidden="false" customHeight="false" outlineLevel="0" collapsed="false">
      <c r="A13" s="2" t="s">
        <v>36</v>
      </c>
      <c r="B13" s="3" t="s">
        <v>37</v>
      </c>
      <c r="C13" s="3" t="s">
        <v>38</v>
      </c>
    </row>
    <row r="14" customFormat="false" ht="35.05" hidden="false" customHeight="false" outlineLevel="0" collapsed="false">
      <c r="A14" s="2" t="s">
        <v>39</v>
      </c>
      <c r="B14" s="3" t="s">
        <v>40</v>
      </c>
      <c r="C14" s="3" t="s">
        <v>41</v>
      </c>
    </row>
    <row r="15" customFormat="false" ht="23.85" hidden="false" customHeight="false" outlineLevel="0" collapsed="false">
      <c r="A15" s="2" t="s">
        <v>42</v>
      </c>
      <c r="B15" s="3" t="s">
        <v>43</v>
      </c>
      <c r="C15" s="3" t="s">
        <v>44</v>
      </c>
    </row>
    <row r="16" customFormat="false" ht="23.85" hidden="false" customHeight="false" outlineLevel="0" collapsed="false">
      <c r="A16" s="2" t="s">
        <v>45</v>
      </c>
      <c r="B16" s="3" t="s">
        <v>46</v>
      </c>
      <c r="C16" s="3" t="s">
        <v>47</v>
      </c>
    </row>
    <row r="17" customFormat="false" ht="35.05" hidden="false" customHeight="false" outlineLevel="0" collapsed="false">
      <c r="A17" s="2" t="s">
        <v>48</v>
      </c>
      <c r="B17" s="3" t="s">
        <v>49</v>
      </c>
      <c r="C17" s="3" t="s">
        <v>50</v>
      </c>
    </row>
    <row r="18" customFormat="false" ht="23.85" hidden="false" customHeight="false" outlineLevel="0" collapsed="false">
      <c r="A18" s="2" t="s">
        <v>51</v>
      </c>
      <c r="B18" s="3" t="s">
        <v>52</v>
      </c>
      <c r="C18" s="3" t="s">
        <v>53</v>
      </c>
    </row>
    <row r="19" customFormat="false" ht="35.05" hidden="false" customHeight="false" outlineLevel="0" collapsed="false">
      <c r="A19" s="2" t="s">
        <v>54</v>
      </c>
      <c r="B19" s="3" t="s">
        <v>55</v>
      </c>
      <c r="C19" s="3" t="s">
        <v>56</v>
      </c>
    </row>
    <row r="20" customFormat="false" ht="23.85" hidden="false" customHeight="false" outlineLevel="0" collapsed="false">
      <c r="A20" s="2" t="s">
        <v>57</v>
      </c>
      <c r="B20" s="3" t="s">
        <v>58</v>
      </c>
      <c r="C20" s="3" t="s">
        <v>59</v>
      </c>
    </row>
    <row r="21" customFormat="false" ht="23.85" hidden="false" customHeight="false" outlineLevel="0" collapsed="false">
      <c r="A21" s="2" t="s">
        <v>60</v>
      </c>
      <c r="B21" s="3" t="s">
        <v>61</v>
      </c>
      <c r="C21" s="3" t="s">
        <v>62</v>
      </c>
    </row>
    <row r="22" customFormat="false" ht="23.85" hidden="false" customHeight="false" outlineLevel="0" collapsed="false">
      <c r="A22" s="2" t="s">
        <v>63</v>
      </c>
      <c r="B22" s="3" t="s">
        <v>64</v>
      </c>
      <c r="C22" s="3" t="s">
        <v>65</v>
      </c>
    </row>
    <row r="23" customFormat="false" ht="35.05" hidden="false" customHeight="false" outlineLevel="0" collapsed="false">
      <c r="A23" s="2" t="s">
        <v>66</v>
      </c>
      <c r="B23" s="3" t="s">
        <v>67</v>
      </c>
      <c r="C23" s="3" t="s">
        <v>68</v>
      </c>
    </row>
    <row r="24" customFormat="false" ht="23.85" hidden="false" customHeight="false" outlineLevel="0" collapsed="false">
      <c r="A24" s="2" t="s">
        <v>69</v>
      </c>
      <c r="B24" s="3" t="s">
        <v>70</v>
      </c>
      <c r="C24" s="3" t="s">
        <v>71</v>
      </c>
    </row>
    <row r="25" customFormat="false" ht="46.25" hidden="false" customHeight="false" outlineLevel="0" collapsed="false">
      <c r="A25" s="2" t="s">
        <v>72</v>
      </c>
      <c r="B25" s="3" t="s">
        <v>73</v>
      </c>
      <c r="C25" s="3"/>
    </row>
    <row r="26" customFormat="false" ht="23.85" hidden="false" customHeight="false" outlineLevel="0" collapsed="false">
      <c r="A26" s="2" t="s">
        <v>74</v>
      </c>
      <c r="B26" s="3" t="s">
        <v>75</v>
      </c>
      <c r="C26" s="3" t="s">
        <v>76</v>
      </c>
    </row>
    <row r="27" customFormat="false" ht="23.85" hidden="false" customHeight="false" outlineLevel="0" collapsed="false">
      <c r="A27" s="2" t="s">
        <v>77</v>
      </c>
      <c r="B27" s="3" t="s">
        <v>78</v>
      </c>
      <c r="C27" s="3" t="s">
        <v>79</v>
      </c>
    </row>
    <row r="28" customFormat="false" ht="23.85" hidden="false" customHeight="false" outlineLevel="0" collapsed="false">
      <c r="A28" s="2" t="s">
        <v>80</v>
      </c>
      <c r="B28" s="3" t="s">
        <v>81</v>
      </c>
      <c r="C28" s="3" t="s">
        <v>82</v>
      </c>
    </row>
    <row r="29" customFormat="false" ht="23.85" hidden="false" customHeight="false" outlineLevel="0" collapsed="false">
      <c r="A29" s="2" t="s">
        <v>83</v>
      </c>
      <c r="B29" s="3" t="s">
        <v>84</v>
      </c>
      <c r="C29" s="3" t="s">
        <v>85</v>
      </c>
    </row>
    <row r="30" customFormat="false" ht="23.85" hidden="false" customHeight="false" outlineLevel="0" collapsed="false">
      <c r="A30" s="2" t="s">
        <v>86</v>
      </c>
      <c r="B30" s="3" t="s">
        <v>87</v>
      </c>
      <c r="C30" s="3" t="s">
        <v>88</v>
      </c>
    </row>
    <row r="31" customFormat="false" ht="23.85" hidden="false" customHeight="false" outlineLevel="0" collapsed="false">
      <c r="A31" s="2" t="s">
        <v>89</v>
      </c>
      <c r="B31" s="3" t="s">
        <v>90</v>
      </c>
      <c r="C31" s="3" t="s">
        <v>91</v>
      </c>
    </row>
    <row r="32" customFormat="false" ht="23.85" hidden="false" customHeight="false" outlineLevel="0" collapsed="false">
      <c r="A32" s="2" t="s">
        <v>92</v>
      </c>
      <c r="B32" s="3" t="s">
        <v>93</v>
      </c>
      <c r="C32" s="3" t="s">
        <v>94</v>
      </c>
    </row>
    <row r="33" customFormat="false" ht="23.85" hidden="false" customHeight="false" outlineLevel="0" collapsed="false">
      <c r="A33" s="2" t="s">
        <v>95</v>
      </c>
      <c r="B33" s="3" t="s">
        <v>96</v>
      </c>
      <c r="C33" s="3" t="s">
        <v>97</v>
      </c>
    </row>
    <row r="34" customFormat="false" ht="23.85" hidden="false" customHeight="false" outlineLevel="0" collapsed="false">
      <c r="A34" s="2" t="s">
        <v>98</v>
      </c>
      <c r="B34" s="3" t="s">
        <v>99</v>
      </c>
      <c r="C34" s="3" t="s">
        <v>100</v>
      </c>
    </row>
    <row r="35" customFormat="false" ht="23.85" hidden="false" customHeight="false" outlineLevel="0" collapsed="false">
      <c r="A35" s="2" t="s">
        <v>101</v>
      </c>
      <c r="B35" s="3" t="s">
        <v>102</v>
      </c>
      <c r="C35" s="3" t="s">
        <v>103</v>
      </c>
    </row>
    <row r="36" customFormat="false" ht="35.05" hidden="false" customHeight="false" outlineLevel="0" collapsed="false">
      <c r="A36" s="2" t="s">
        <v>104</v>
      </c>
      <c r="B36" s="3" t="s">
        <v>105</v>
      </c>
      <c r="C36" s="3" t="s">
        <v>106</v>
      </c>
    </row>
    <row r="37" customFormat="false" ht="23.85" hidden="false" customHeight="false" outlineLevel="0" collapsed="false">
      <c r="A37" s="2" t="s">
        <v>107</v>
      </c>
      <c r="B37" s="3" t="s">
        <v>108</v>
      </c>
      <c r="C37" s="3" t="s">
        <v>109</v>
      </c>
    </row>
    <row r="38" customFormat="false" ht="23.85" hidden="false" customHeight="false" outlineLevel="0" collapsed="false">
      <c r="A38" s="2" t="s">
        <v>110</v>
      </c>
      <c r="B38" s="3" t="s">
        <v>111</v>
      </c>
      <c r="C38" s="3" t="s">
        <v>112</v>
      </c>
    </row>
    <row r="39" customFormat="false" ht="23.85" hidden="false" customHeight="false" outlineLevel="0" collapsed="false">
      <c r="A39" s="2" t="s">
        <v>113</v>
      </c>
      <c r="B39" s="3" t="s">
        <v>114</v>
      </c>
      <c r="C39" s="3" t="s">
        <v>115</v>
      </c>
    </row>
    <row r="40" customFormat="false" ht="35.05" hidden="false" customHeight="false" outlineLevel="0" collapsed="false">
      <c r="A40" s="2" t="s">
        <v>116</v>
      </c>
      <c r="B40" s="3" t="s">
        <v>117</v>
      </c>
      <c r="C40" s="3" t="s">
        <v>118</v>
      </c>
    </row>
    <row r="41" customFormat="false" ht="23.85" hidden="false" customHeight="false" outlineLevel="0" collapsed="false">
      <c r="A41" s="2" t="s">
        <v>119</v>
      </c>
      <c r="B41" s="3" t="s">
        <v>120</v>
      </c>
      <c r="C41" s="3" t="s">
        <v>121</v>
      </c>
    </row>
    <row r="42" customFormat="false" ht="23.85" hidden="false" customHeight="false" outlineLevel="0" collapsed="false">
      <c r="A42" s="2" t="s">
        <v>122</v>
      </c>
      <c r="B42" s="3" t="s">
        <v>123</v>
      </c>
      <c r="C42" s="3" t="s">
        <v>124</v>
      </c>
    </row>
    <row r="43" customFormat="false" ht="23.85" hidden="false" customHeight="false" outlineLevel="0" collapsed="false">
      <c r="A43" s="2" t="s">
        <v>125</v>
      </c>
      <c r="B43" s="3" t="s">
        <v>126</v>
      </c>
      <c r="C43" s="3" t="s">
        <v>127</v>
      </c>
    </row>
    <row r="44" customFormat="false" ht="23.85" hidden="false" customHeight="false" outlineLevel="0" collapsed="false">
      <c r="A44" s="2" t="s">
        <v>128</v>
      </c>
      <c r="B44" s="3" t="s">
        <v>129</v>
      </c>
      <c r="C44" s="3" t="s">
        <v>130</v>
      </c>
    </row>
    <row r="45" customFormat="false" ht="23.85" hidden="false" customHeight="false" outlineLevel="0" collapsed="false">
      <c r="A45" s="2" t="s">
        <v>131</v>
      </c>
      <c r="B45" s="3" t="s">
        <v>132</v>
      </c>
      <c r="C45" s="3" t="s">
        <v>133</v>
      </c>
    </row>
    <row r="46" customFormat="false" ht="23.85" hidden="false" customHeight="false" outlineLevel="0" collapsed="false">
      <c r="A46" s="2" t="s">
        <v>134</v>
      </c>
      <c r="B46" s="3" t="s">
        <v>135</v>
      </c>
      <c r="C46" s="3" t="s">
        <v>136</v>
      </c>
    </row>
    <row r="47" customFormat="false" ht="46.25" hidden="false" customHeight="false" outlineLevel="0" collapsed="false">
      <c r="A47" s="2" t="s">
        <v>137</v>
      </c>
      <c r="B47" s="3" t="s">
        <v>138</v>
      </c>
      <c r="C47" s="3"/>
    </row>
    <row r="48" customFormat="false" ht="23.85" hidden="false" customHeight="false" outlineLevel="0" collapsed="false">
      <c r="A48" s="2" t="s">
        <v>139</v>
      </c>
      <c r="B48" s="3" t="s">
        <v>140</v>
      </c>
      <c r="C48" s="3" t="s">
        <v>141</v>
      </c>
    </row>
    <row r="49" customFormat="false" ht="23.85" hidden="false" customHeight="false" outlineLevel="0" collapsed="false">
      <c r="A49" s="2" t="s">
        <v>142</v>
      </c>
      <c r="B49" s="3" t="s">
        <v>143</v>
      </c>
      <c r="C49" s="3" t="s">
        <v>144</v>
      </c>
    </row>
    <row r="50" customFormat="false" ht="35.05" hidden="false" customHeight="false" outlineLevel="0" collapsed="false">
      <c r="A50" s="2" t="s">
        <v>145</v>
      </c>
      <c r="B50" s="3" t="s">
        <v>146</v>
      </c>
      <c r="C50" s="3" t="s">
        <v>147</v>
      </c>
    </row>
    <row r="51" customFormat="false" ht="35.05" hidden="false" customHeight="false" outlineLevel="0" collapsed="false">
      <c r="A51" s="2" t="s">
        <v>148</v>
      </c>
      <c r="B51" s="3" t="s">
        <v>149</v>
      </c>
      <c r="C51" s="3" t="s">
        <v>150</v>
      </c>
    </row>
    <row r="52" customFormat="false" ht="35.05" hidden="false" customHeight="false" outlineLevel="0" collapsed="false">
      <c r="A52" s="2" t="s">
        <v>151</v>
      </c>
      <c r="B52" s="3" t="s">
        <v>152</v>
      </c>
      <c r="C52" s="3" t="s">
        <v>153</v>
      </c>
    </row>
    <row r="53" customFormat="false" ht="46.25" hidden="false" customHeight="false" outlineLevel="0" collapsed="false">
      <c r="A53" s="2" t="s">
        <v>154</v>
      </c>
      <c r="B53" s="3" t="s">
        <v>155</v>
      </c>
      <c r="C53" s="3" t="s">
        <v>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9"/>
    <col collapsed="false" customWidth="true" hidden="false" outlineLevel="0" max="4" min="4" style="0" width="28"/>
    <col collapsed="false" customWidth="true" hidden="false" outlineLevel="0" max="6" min="5" style="0" width="14"/>
    <col collapsed="false" customWidth="true" hidden="false" outlineLevel="0" max="7" min="7" style="0" width="8"/>
    <col collapsed="false" customWidth="true" hidden="false" outlineLevel="0" max="8" min="8" style="0" width="12"/>
    <col collapsed="false" customWidth="true" hidden="false" outlineLevel="0" max="9" min="9" style="0" width="70"/>
  </cols>
  <sheetData>
    <row r="1" customFormat="false" ht="35.05" hidden="false" customHeight="false" outlineLevel="0" collapsed="false">
      <c r="A1" s="1" t="s">
        <v>0</v>
      </c>
      <c r="B1" s="1" t="s">
        <v>157</v>
      </c>
      <c r="C1" s="1" t="s">
        <v>158</v>
      </c>
      <c r="D1" s="1" t="s">
        <v>159</v>
      </c>
      <c r="E1" s="1" t="s">
        <v>160</v>
      </c>
      <c r="F1" s="1" t="s">
        <v>161</v>
      </c>
      <c r="G1" s="1" t="s">
        <v>162</v>
      </c>
      <c r="H1" s="1" t="s">
        <v>163</v>
      </c>
      <c r="I1" s="1" t="s">
        <v>164</v>
      </c>
    </row>
    <row r="2" customFormat="false" ht="15" hidden="false" customHeight="false" outlineLevel="0" collapsed="false">
      <c r="A2" s="3" t="s">
        <v>3</v>
      </c>
      <c r="B2" s="3" t="n">
        <v>1</v>
      </c>
      <c r="C2" s="3" t="n">
        <v>1</v>
      </c>
      <c r="D2" s="3" t="s">
        <v>165</v>
      </c>
      <c r="E2" s="3" t="s">
        <v>166</v>
      </c>
      <c r="F2" s="3" t="s">
        <v>167</v>
      </c>
      <c r="G2" s="3" t="n">
        <v>4</v>
      </c>
      <c r="H2" s="4" t="n">
        <v>4.4</v>
      </c>
      <c r="I2" s="3"/>
    </row>
    <row r="3" customFormat="false" ht="15" hidden="false" customHeight="false" outlineLevel="0" collapsed="false">
      <c r="A3" s="3" t="s">
        <v>6</v>
      </c>
      <c r="B3" s="3" t="n">
        <v>1</v>
      </c>
      <c r="C3" s="3" t="n">
        <v>2</v>
      </c>
      <c r="D3" s="3" t="s">
        <v>168</v>
      </c>
      <c r="E3" s="3"/>
      <c r="F3" s="3" t="s">
        <v>169</v>
      </c>
      <c r="G3" s="3" t="n">
        <v>9</v>
      </c>
      <c r="H3" s="4" t="n">
        <v>7.3</v>
      </c>
      <c r="I3" s="3"/>
    </row>
    <row r="4" customFormat="false" ht="15" hidden="false" customHeight="false" outlineLevel="0" collapsed="false">
      <c r="A4" s="3" t="s">
        <v>9</v>
      </c>
      <c r="B4" s="3" t="n">
        <v>1</v>
      </c>
      <c r="C4" s="3" t="n">
        <v>3</v>
      </c>
      <c r="D4" s="3" t="s">
        <v>170</v>
      </c>
      <c r="E4" s="3"/>
      <c r="F4" s="3" t="s">
        <v>171</v>
      </c>
      <c r="G4" s="3" t="n">
        <v>8</v>
      </c>
      <c r="H4" s="4" t="n">
        <v>6.2</v>
      </c>
      <c r="I4" s="3"/>
    </row>
    <row r="5" customFormat="false" ht="15" hidden="false" customHeight="false" outlineLevel="0" collapsed="false">
      <c r="A5" s="3" t="s">
        <v>12</v>
      </c>
      <c r="B5" s="3" t="n">
        <v>1</v>
      </c>
      <c r="C5" s="3" t="n">
        <v>4</v>
      </c>
      <c r="D5" s="3" t="s">
        <v>172</v>
      </c>
      <c r="E5" s="3"/>
      <c r="F5" s="3" t="s">
        <v>173</v>
      </c>
      <c r="G5" s="3" t="n">
        <v>9</v>
      </c>
      <c r="H5" s="4" t="n">
        <v>6.8</v>
      </c>
      <c r="I5" s="3"/>
    </row>
    <row r="6" customFormat="false" ht="15" hidden="false" customHeight="false" outlineLevel="0" collapsed="false">
      <c r="A6" s="3" t="s">
        <v>15</v>
      </c>
      <c r="B6" s="3" t="n">
        <v>1</v>
      </c>
      <c r="C6" s="3" t="n">
        <v>5</v>
      </c>
      <c r="D6" s="3" t="s">
        <v>174</v>
      </c>
      <c r="E6" s="3" t="s">
        <v>166</v>
      </c>
      <c r="F6" s="3" t="s">
        <v>167</v>
      </c>
      <c r="G6" s="3" t="n">
        <v>8</v>
      </c>
      <c r="H6" s="4" t="n">
        <v>6.7</v>
      </c>
      <c r="I6" s="3"/>
    </row>
    <row r="7" customFormat="false" ht="15" hidden="false" customHeight="false" outlineLevel="0" collapsed="false">
      <c r="A7" s="3" t="s">
        <v>18</v>
      </c>
      <c r="B7" s="3" t="n">
        <v>1</v>
      </c>
      <c r="C7" s="3" t="n">
        <v>6</v>
      </c>
      <c r="D7" s="3" t="s">
        <v>175</v>
      </c>
      <c r="E7" s="3"/>
      <c r="F7" s="3" t="s">
        <v>169</v>
      </c>
      <c r="G7" s="3" t="n">
        <v>9</v>
      </c>
      <c r="H7" s="4" t="n">
        <v>6.8</v>
      </c>
      <c r="I7" s="3"/>
    </row>
    <row r="8" customFormat="false" ht="15" hidden="false" customHeight="false" outlineLevel="0" collapsed="false">
      <c r="A8" s="3" t="s">
        <v>21</v>
      </c>
      <c r="B8" s="3" t="n">
        <v>1</v>
      </c>
      <c r="C8" s="3" t="n">
        <v>7</v>
      </c>
      <c r="D8" s="3" t="s">
        <v>176</v>
      </c>
      <c r="E8" s="3"/>
      <c r="F8" s="3" t="s">
        <v>177</v>
      </c>
      <c r="G8" s="3" t="n">
        <v>6</v>
      </c>
      <c r="H8" s="4" t="n">
        <v>5</v>
      </c>
      <c r="I8" s="3"/>
    </row>
    <row r="9" customFormat="false" ht="15" hidden="false" customHeight="false" outlineLevel="0" collapsed="false">
      <c r="A9" s="3" t="s">
        <v>24</v>
      </c>
      <c r="B9" s="3" t="n">
        <v>1</v>
      </c>
      <c r="C9" s="3" t="n">
        <v>8</v>
      </c>
      <c r="D9" s="3" t="s">
        <v>178</v>
      </c>
      <c r="E9" s="3"/>
      <c r="F9" s="3" t="s">
        <v>169</v>
      </c>
      <c r="G9" s="3" t="n">
        <v>8</v>
      </c>
      <c r="H9" s="4" t="n">
        <v>6.7</v>
      </c>
      <c r="I9" s="3"/>
    </row>
    <row r="10" customFormat="false" ht="15" hidden="false" customHeight="false" outlineLevel="0" collapsed="false">
      <c r="A10" s="3" t="s">
        <v>27</v>
      </c>
      <c r="B10" s="3" t="n">
        <v>1</v>
      </c>
      <c r="C10" s="3" t="n">
        <v>9</v>
      </c>
      <c r="D10" s="3" t="s">
        <v>179</v>
      </c>
      <c r="E10" s="3"/>
      <c r="F10" s="3" t="s">
        <v>173</v>
      </c>
      <c r="G10" s="3" t="n">
        <v>9</v>
      </c>
      <c r="H10" s="4" t="n">
        <v>7.3</v>
      </c>
      <c r="I10" s="3"/>
    </row>
    <row r="11" customFormat="false" ht="15" hidden="false" customHeight="false" outlineLevel="0" collapsed="false">
      <c r="A11" s="3" t="s">
        <v>30</v>
      </c>
      <c r="B11" s="3" t="n">
        <v>1</v>
      </c>
      <c r="C11" s="3" t="n">
        <v>10</v>
      </c>
      <c r="D11" s="3" t="s">
        <v>180</v>
      </c>
      <c r="E11" s="3" t="s">
        <v>166</v>
      </c>
      <c r="F11" s="3" t="s">
        <v>167</v>
      </c>
      <c r="G11" s="3" t="n">
        <v>8</v>
      </c>
      <c r="H11" s="4" t="n">
        <v>6.2</v>
      </c>
      <c r="I11" s="3"/>
    </row>
    <row r="12" customFormat="false" ht="15" hidden="false" customHeight="false" outlineLevel="0" collapsed="false">
      <c r="A12" s="3" t="s">
        <v>33</v>
      </c>
      <c r="B12" s="3" t="n">
        <v>1</v>
      </c>
      <c r="C12" s="3" t="n">
        <v>11</v>
      </c>
      <c r="D12" s="3" t="s">
        <v>181</v>
      </c>
      <c r="E12" s="3"/>
      <c r="F12" s="3" t="s">
        <v>169</v>
      </c>
      <c r="G12" s="3" t="n">
        <v>8</v>
      </c>
      <c r="H12" s="4" t="n">
        <v>6.7</v>
      </c>
      <c r="I12" s="3"/>
    </row>
    <row r="13" customFormat="false" ht="15" hidden="false" customHeight="false" outlineLevel="0" collapsed="false">
      <c r="A13" s="3" t="s">
        <v>36</v>
      </c>
      <c r="B13" s="3" t="n">
        <v>1</v>
      </c>
      <c r="C13" s="3" t="n">
        <v>12</v>
      </c>
      <c r="D13" s="3" t="s">
        <v>182</v>
      </c>
      <c r="E13" s="3"/>
      <c r="F13" s="3" t="s">
        <v>173</v>
      </c>
      <c r="G13" s="3" t="n">
        <v>8</v>
      </c>
      <c r="H13" s="4" t="n">
        <v>6.2</v>
      </c>
      <c r="I13" s="3"/>
    </row>
    <row r="14" customFormat="false" ht="15" hidden="false" customHeight="false" outlineLevel="0" collapsed="false">
      <c r="A14" s="3" t="s">
        <v>39</v>
      </c>
      <c r="B14" s="3" t="n">
        <v>1</v>
      </c>
      <c r="C14" s="3" t="n">
        <v>13</v>
      </c>
      <c r="D14" s="3" t="s">
        <v>183</v>
      </c>
      <c r="E14" s="3"/>
      <c r="F14" s="3" t="s">
        <v>177</v>
      </c>
      <c r="G14" s="3" t="n">
        <v>7</v>
      </c>
      <c r="H14" s="4" t="n">
        <v>6.1</v>
      </c>
      <c r="I14" s="3"/>
    </row>
    <row r="15" customFormat="false" ht="35.05" hidden="false" customHeight="false" outlineLevel="0" collapsed="false">
      <c r="A15" s="5" t="s">
        <v>42</v>
      </c>
      <c r="B15" s="5" t="n">
        <v>2</v>
      </c>
      <c r="C15" s="5" t="n">
        <v>14</v>
      </c>
      <c r="D15" s="5" t="s">
        <v>184</v>
      </c>
      <c r="E15" s="5"/>
      <c r="F15" s="5" t="s">
        <v>167</v>
      </c>
      <c r="G15" s="5" t="n">
        <v>9</v>
      </c>
      <c r="H15" s="6" t="n">
        <v>7.3</v>
      </c>
      <c r="I15" s="5" t="s">
        <v>185</v>
      </c>
    </row>
    <row r="16" customFormat="false" ht="15" hidden="false" customHeight="false" outlineLevel="0" collapsed="false">
      <c r="A16" s="5" t="s">
        <v>45</v>
      </c>
      <c r="B16" s="5" t="n">
        <v>2</v>
      </c>
      <c r="C16" s="5" t="n">
        <v>15</v>
      </c>
      <c r="D16" s="5" t="s">
        <v>186</v>
      </c>
      <c r="E16" s="5" t="s">
        <v>166</v>
      </c>
      <c r="F16" s="5" t="s">
        <v>169</v>
      </c>
      <c r="G16" s="5" t="n">
        <v>7</v>
      </c>
      <c r="H16" s="6" t="n">
        <v>6.1</v>
      </c>
      <c r="I16" s="5" t="s">
        <v>187</v>
      </c>
    </row>
    <row r="17" customFormat="false" ht="15" hidden="false" customHeight="false" outlineLevel="0" collapsed="false">
      <c r="A17" s="3" t="s">
        <v>48</v>
      </c>
      <c r="B17" s="3" t="n">
        <v>2</v>
      </c>
      <c r="C17" s="3" t="n">
        <v>16</v>
      </c>
      <c r="D17" s="3" t="s">
        <v>188</v>
      </c>
      <c r="E17" s="3"/>
      <c r="F17" s="3" t="s">
        <v>177</v>
      </c>
      <c r="G17" s="3" t="n">
        <v>6</v>
      </c>
      <c r="H17" s="4" t="n">
        <v>5</v>
      </c>
      <c r="I17" s="3"/>
    </row>
    <row r="18" customFormat="false" ht="15" hidden="false" customHeight="false" outlineLevel="0" collapsed="false">
      <c r="A18" s="5" t="s">
        <v>51</v>
      </c>
      <c r="B18" s="5" t="n">
        <v>2</v>
      </c>
      <c r="C18" s="5" t="n">
        <v>17</v>
      </c>
      <c r="D18" s="5" t="s">
        <v>189</v>
      </c>
      <c r="E18" s="5"/>
      <c r="F18" s="5" t="s">
        <v>171</v>
      </c>
      <c r="G18" s="5" t="n">
        <v>10</v>
      </c>
      <c r="H18" s="6" t="n">
        <v>7.9</v>
      </c>
      <c r="I18" s="5" t="s">
        <v>190</v>
      </c>
    </row>
    <row r="19" customFormat="false" ht="15" hidden="false" customHeight="false" outlineLevel="0" collapsed="false">
      <c r="A19" s="3" t="s">
        <v>54</v>
      </c>
      <c r="B19" s="3" t="n">
        <v>2</v>
      </c>
      <c r="C19" s="3" t="n">
        <v>18</v>
      </c>
      <c r="D19" s="3" t="s">
        <v>191</v>
      </c>
      <c r="E19" s="3" t="s">
        <v>192</v>
      </c>
      <c r="F19" s="3" t="s">
        <v>193</v>
      </c>
      <c r="G19" s="3" t="n">
        <v>8</v>
      </c>
      <c r="H19" s="4" t="n">
        <v>6.2</v>
      </c>
      <c r="I19" s="3"/>
    </row>
    <row r="20" customFormat="false" ht="15" hidden="false" customHeight="false" outlineLevel="0" collapsed="false">
      <c r="A20" s="3" t="s">
        <v>57</v>
      </c>
      <c r="B20" s="3" t="n">
        <v>2</v>
      </c>
      <c r="C20" s="3" t="n">
        <v>19</v>
      </c>
      <c r="D20" s="3" t="s">
        <v>194</v>
      </c>
      <c r="E20" s="3"/>
      <c r="F20" s="3" t="s">
        <v>169</v>
      </c>
      <c r="G20" s="3" t="n">
        <v>7</v>
      </c>
      <c r="H20" s="4" t="n">
        <v>5.6</v>
      </c>
      <c r="I20" s="3"/>
    </row>
    <row r="21" customFormat="false" ht="15" hidden="false" customHeight="false" outlineLevel="0" collapsed="false">
      <c r="A21" s="3" t="s">
        <v>60</v>
      </c>
      <c r="B21" s="3" t="n">
        <v>2</v>
      </c>
      <c r="C21" s="3" t="n">
        <v>20</v>
      </c>
      <c r="D21" s="3" t="s">
        <v>195</v>
      </c>
      <c r="E21" s="3"/>
      <c r="F21" s="3" t="s">
        <v>193</v>
      </c>
      <c r="G21" s="3" t="n">
        <v>9</v>
      </c>
      <c r="H21" s="4" t="n">
        <v>7.3</v>
      </c>
      <c r="I21" s="3"/>
    </row>
    <row r="22" customFormat="false" ht="23.85" hidden="false" customHeight="false" outlineLevel="0" collapsed="false">
      <c r="A22" s="5" t="s">
        <v>63</v>
      </c>
      <c r="B22" s="5" t="n">
        <v>2</v>
      </c>
      <c r="C22" s="5" t="n">
        <v>21</v>
      </c>
      <c r="D22" s="5" t="s">
        <v>196</v>
      </c>
      <c r="E22" s="5"/>
      <c r="F22" s="5" t="s">
        <v>167</v>
      </c>
      <c r="G22" s="5" t="n">
        <v>8</v>
      </c>
      <c r="H22" s="6" t="n">
        <v>6.7</v>
      </c>
      <c r="I22" s="5" t="s">
        <v>197</v>
      </c>
    </row>
    <row r="23" customFormat="false" ht="15" hidden="false" customHeight="false" outlineLevel="0" collapsed="false">
      <c r="A23" s="3" t="s">
        <v>66</v>
      </c>
      <c r="B23" s="3" t="n">
        <v>2</v>
      </c>
      <c r="C23" s="3" t="n">
        <v>22</v>
      </c>
      <c r="D23" s="3" t="s">
        <v>179</v>
      </c>
      <c r="E23" s="3"/>
      <c r="F23" s="3" t="s">
        <v>169</v>
      </c>
      <c r="G23" s="3" t="n">
        <v>8</v>
      </c>
      <c r="H23" s="4" t="n">
        <v>6.7</v>
      </c>
      <c r="I23" s="3"/>
    </row>
    <row r="24" customFormat="false" ht="15" hidden="false" customHeight="false" outlineLevel="0" collapsed="false">
      <c r="A24" s="3" t="s">
        <v>69</v>
      </c>
      <c r="B24" s="3" t="n">
        <v>2</v>
      </c>
      <c r="C24" s="3" t="n">
        <v>23</v>
      </c>
      <c r="D24" s="3" t="s">
        <v>198</v>
      </c>
      <c r="E24" s="3" t="s">
        <v>192</v>
      </c>
      <c r="F24" s="3" t="s">
        <v>193</v>
      </c>
      <c r="G24" s="3" t="n">
        <v>8</v>
      </c>
      <c r="H24" s="4" t="n">
        <v>6.2</v>
      </c>
      <c r="I24" s="3"/>
    </row>
    <row r="25" customFormat="false" ht="15" hidden="false" customHeight="false" outlineLevel="0" collapsed="false">
      <c r="A25" s="5" t="s">
        <v>72</v>
      </c>
      <c r="B25" s="5" t="n">
        <v>2</v>
      </c>
      <c r="C25" s="5" t="n">
        <v>24</v>
      </c>
      <c r="D25" s="5" t="s">
        <v>199</v>
      </c>
      <c r="E25" s="5" t="s">
        <v>200</v>
      </c>
      <c r="F25" s="5"/>
      <c r="G25" s="5" t="n">
        <v>0</v>
      </c>
      <c r="H25" s="6" t="n">
        <v>6</v>
      </c>
      <c r="I25" s="5" t="s">
        <v>201</v>
      </c>
    </row>
    <row r="26" customFormat="false" ht="15" hidden="false" customHeight="false" outlineLevel="0" collapsed="false">
      <c r="A26" s="3" t="s">
        <v>74</v>
      </c>
      <c r="B26" s="3" t="n">
        <v>2</v>
      </c>
      <c r="C26" s="3" t="n">
        <v>25</v>
      </c>
      <c r="D26" s="3" t="s">
        <v>202</v>
      </c>
      <c r="E26" s="3"/>
      <c r="F26" s="3" t="s">
        <v>169</v>
      </c>
      <c r="G26" s="3" t="n">
        <v>8</v>
      </c>
      <c r="H26" s="4" t="n">
        <v>7.2</v>
      </c>
      <c r="I26" s="3"/>
    </row>
    <row r="27" customFormat="false" ht="15" hidden="false" customHeight="false" outlineLevel="0" collapsed="false">
      <c r="A27" s="3" t="s">
        <v>77</v>
      </c>
      <c r="B27" s="3" t="n">
        <v>2</v>
      </c>
      <c r="C27" s="3" t="n">
        <v>26</v>
      </c>
      <c r="D27" s="3" t="s">
        <v>203</v>
      </c>
      <c r="E27" s="3"/>
      <c r="F27" s="3" t="s">
        <v>193</v>
      </c>
      <c r="G27" s="3" t="n">
        <v>8</v>
      </c>
      <c r="H27" s="4" t="n">
        <v>6.2</v>
      </c>
      <c r="I27" s="3"/>
    </row>
    <row r="28" customFormat="false" ht="15" hidden="false" customHeight="false" outlineLevel="0" collapsed="false">
      <c r="A28" s="3" t="s">
        <v>80</v>
      </c>
      <c r="B28" s="3" t="n">
        <v>2</v>
      </c>
      <c r="C28" s="3" t="n">
        <v>27</v>
      </c>
      <c r="D28" s="3" t="s">
        <v>204</v>
      </c>
      <c r="E28" s="3"/>
      <c r="F28" s="3" t="s">
        <v>173</v>
      </c>
      <c r="G28" s="3" t="n">
        <v>10</v>
      </c>
      <c r="H28" s="4" t="n">
        <v>7.9</v>
      </c>
      <c r="I28" s="3"/>
    </row>
    <row r="29" customFormat="false" ht="15" hidden="false" customHeight="false" outlineLevel="0" collapsed="false">
      <c r="A29" s="3" t="s">
        <v>83</v>
      </c>
      <c r="B29" s="3" t="n">
        <v>3</v>
      </c>
      <c r="C29" s="3" t="n">
        <v>28</v>
      </c>
      <c r="D29" s="3" t="s">
        <v>205</v>
      </c>
      <c r="E29" s="3"/>
      <c r="F29" s="3" t="s">
        <v>169</v>
      </c>
      <c r="G29" s="3" t="n">
        <v>9</v>
      </c>
      <c r="H29" s="4" t="n">
        <v>7.3</v>
      </c>
      <c r="I29" s="3"/>
    </row>
    <row r="30" customFormat="false" ht="15" hidden="false" customHeight="false" outlineLevel="0" collapsed="false">
      <c r="A30" s="3" t="s">
        <v>86</v>
      </c>
      <c r="B30" s="3" t="n">
        <v>3</v>
      </c>
      <c r="C30" s="3" t="n">
        <v>29</v>
      </c>
      <c r="D30" s="3" t="s">
        <v>206</v>
      </c>
      <c r="E30" s="3"/>
      <c r="F30" s="3" t="s">
        <v>167</v>
      </c>
      <c r="G30" s="3" t="n">
        <v>7</v>
      </c>
      <c r="H30" s="4" t="n">
        <v>5.6</v>
      </c>
      <c r="I30" s="3"/>
    </row>
    <row r="31" customFormat="false" ht="15" hidden="false" customHeight="false" outlineLevel="0" collapsed="false">
      <c r="A31" s="3" t="s">
        <v>89</v>
      </c>
      <c r="B31" s="3" t="n">
        <v>3</v>
      </c>
      <c r="C31" s="3" t="n">
        <v>30</v>
      </c>
      <c r="D31" s="3" t="s">
        <v>207</v>
      </c>
      <c r="E31" s="3"/>
      <c r="F31" s="3" t="s">
        <v>177</v>
      </c>
      <c r="G31" s="3" t="n">
        <v>8</v>
      </c>
      <c r="H31" s="4" t="n">
        <v>6.2</v>
      </c>
      <c r="I31" s="3"/>
    </row>
    <row r="32" customFormat="false" ht="15" hidden="false" customHeight="false" outlineLevel="0" collapsed="false">
      <c r="A32" s="3" t="s">
        <v>92</v>
      </c>
      <c r="B32" s="3" t="n">
        <v>3</v>
      </c>
      <c r="C32" s="3" t="n">
        <v>31</v>
      </c>
      <c r="D32" s="3" t="s">
        <v>208</v>
      </c>
      <c r="E32" s="3"/>
      <c r="F32" s="3" t="s">
        <v>173</v>
      </c>
      <c r="G32" s="3" t="n">
        <v>11</v>
      </c>
      <c r="H32" s="4" t="n">
        <v>8.5</v>
      </c>
      <c r="I32" s="3"/>
    </row>
    <row r="33" customFormat="false" ht="15" hidden="false" customHeight="false" outlineLevel="0" collapsed="false">
      <c r="A33" s="3" t="s">
        <v>95</v>
      </c>
      <c r="B33" s="3" t="n">
        <v>3</v>
      </c>
      <c r="C33" s="3" t="n">
        <v>32</v>
      </c>
      <c r="D33" s="3" t="s">
        <v>209</v>
      </c>
      <c r="E33" s="3"/>
      <c r="F33" s="3" t="s">
        <v>169</v>
      </c>
      <c r="G33" s="3" t="n">
        <v>7</v>
      </c>
      <c r="H33" s="4" t="n">
        <v>6.1</v>
      </c>
      <c r="I33" s="3"/>
    </row>
    <row r="34" customFormat="false" ht="15" hidden="false" customHeight="false" outlineLevel="0" collapsed="false">
      <c r="A34" s="3" t="s">
        <v>98</v>
      </c>
      <c r="B34" s="3" t="n">
        <v>3</v>
      </c>
      <c r="C34" s="3" t="n">
        <v>33</v>
      </c>
      <c r="D34" s="3" t="s">
        <v>210</v>
      </c>
      <c r="E34" s="3" t="s">
        <v>166</v>
      </c>
      <c r="F34" s="3" t="s">
        <v>167</v>
      </c>
      <c r="G34" s="3" t="n">
        <v>6</v>
      </c>
      <c r="H34" s="4" t="n">
        <v>5.5</v>
      </c>
      <c r="I34" s="3"/>
    </row>
    <row r="35" customFormat="false" ht="15" hidden="false" customHeight="false" outlineLevel="0" collapsed="false">
      <c r="A35" s="3" t="s">
        <v>101</v>
      </c>
      <c r="B35" s="3" t="n">
        <v>3</v>
      </c>
      <c r="C35" s="3" t="n">
        <v>34</v>
      </c>
      <c r="D35" s="3" t="s">
        <v>211</v>
      </c>
      <c r="E35" s="3"/>
      <c r="F35" s="3" t="s">
        <v>169</v>
      </c>
      <c r="G35" s="3" t="n">
        <v>7</v>
      </c>
      <c r="H35" s="4" t="n">
        <v>6.1</v>
      </c>
      <c r="I35" s="3"/>
    </row>
    <row r="36" customFormat="false" ht="15" hidden="false" customHeight="false" outlineLevel="0" collapsed="false">
      <c r="A36" s="3" t="s">
        <v>104</v>
      </c>
      <c r="B36" s="3" t="n">
        <v>3</v>
      </c>
      <c r="C36" s="3" t="n">
        <v>35</v>
      </c>
      <c r="D36" s="3" t="s">
        <v>212</v>
      </c>
      <c r="E36" s="3"/>
      <c r="F36" s="3" t="s">
        <v>173</v>
      </c>
      <c r="G36" s="3" t="n">
        <v>9</v>
      </c>
      <c r="H36" s="4" t="n">
        <v>6.8</v>
      </c>
      <c r="I36" s="3"/>
    </row>
    <row r="37" customFormat="false" ht="15" hidden="false" customHeight="false" outlineLevel="0" collapsed="false">
      <c r="A37" s="3" t="s">
        <v>107</v>
      </c>
      <c r="B37" s="3" t="n">
        <v>3</v>
      </c>
      <c r="C37" s="3" t="n">
        <v>36</v>
      </c>
      <c r="D37" s="3" t="s">
        <v>213</v>
      </c>
      <c r="E37" s="3"/>
      <c r="F37" s="3" t="s">
        <v>177</v>
      </c>
      <c r="G37" s="3" t="n">
        <v>8</v>
      </c>
      <c r="H37" s="4" t="n">
        <v>6.7</v>
      </c>
      <c r="I37" s="3"/>
    </row>
    <row r="38" customFormat="false" ht="15" hidden="false" customHeight="false" outlineLevel="0" collapsed="false">
      <c r="A38" s="3" t="s">
        <v>110</v>
      </c>
      <c r="B38" s="3" t="n">
        <v>3</v>
      </c>
      <c r="C38" s="3" t="n">
        <v>37</v>
      </c>
      <c r="D38" s="3" t="s">
        <v>214</v>
      </c>
      <c r="E38" s="3"/>
      <c r="F38" s="3" t="s">
        <v>167</v>
      </c>
      <c r="G38" s="3" t="n">
        <v>10</v>
      </c>
      <c r="H38" s="4" t="n">
        <v>7.9</v>
      </c>
      <c r="I38" s="3"/>
    </row>
    <row r="39" customFormat="false" ht="15" hidden="false" customHeight="false" outlineLevel="0" collapsed="false">
      <c r="A39" s="3" t="s">
        <v>113</v>
      </c>
      <c r="B39" s="3" t="n">
        <v>3</v>
      </c>
      <c r="C39" s="3" t="n">
        <v>38</v>
      </c>
      <c r="D39" s="3" t="s">
        <v>215</v>
      </c>
      <c r="E39" s="3"/>
      <c r="F39" s="3" t="s">
        <v>169</v>
      </c>
      <c r="G39" s="3" t="n">
        <v>11</v>
      </c>
      <c r="H39" s="4" t="n">
        <v>8.5</v>
      </c>
      <c r="I39" s="3"/>
    </row>
    <row r="40" customFormat="false" ht="15" hidden="false" customHeight="false" outlineLevel="0" collapsed="false">
      <c r="A40" s="3" t="s">
        <v>116</v>
      </c>
      <c r="B40" s="3" t="n">
        <v>3</v>
      </c>
      <c r="C40" s="3" t="n">
        <v>39</v>
      </c>
      <c r="D40" s="3" t="s">
        <v>216</v>
      </c>
      <c r="E40" s="3"/>
      <c r="F40" s="3" t="s">
        <v>177</v>
      </c>
      <c r="G40" s="3" t="n">
        <v>10</v>
      </c>
      <c r="H40" s="4" t="n">
        <v>7.9</v>
      </c>
      <c r="I40" s="3"/>
    </row>
    <row r="41" customFormat="false" ht="15" hidden="false" customHeight="false" outlineLevel="0" collapsed="false">
      <c r="A41" s="3" t="s">
        <v>119</v>
      </c>
      <c r="B41" s="3" t="n">
        <v>4</v>
      </c>
      <c r="C41" s="3" t="n">
        <v>40</v>
      </c>
      <c r="D41" s="3" t="s">
        <v>217</v>
      </c>
      <c r="E41" s="3"/>
      <c r="F41" s="3" t="s">
        <v>171</v>
      </c>
      <c r="G41" s="3" t="n">
        <v>8</v>
      </c>
      <c r="H41" s="4" t="n">
        <v>6.7</v>
      </c>
      <c r="I41" s="3"/>
    </row>
    <row r="42" customFormat="false" ht="15" hidden="false" customHeight="false" outlineLevel="0" collapsed="false">
      <c r="A42" s="3" t="s">
        <v>122</v>
      </c>
      <c r="B42" s="3" t="n">
        <v>4</v>
      </c>
      <c r="C42" s="3" t="n">
        <v>41</v>
      </c>
      <c r="D42" s="3" t="s">
        <v>218</v>
      </c>
      <c r="E42" s="3"/>
      <c r="F42" s="3" t="s">
        <v>193</v>
      </c>
      <c r="G42" s="3" t="n">
        <v>9</v>
      </c>
      <c r="H42" s="4" t="n">
        <v>7.3</v>
      </c>
      <c r="I42" s="3"/>
    </row>
    <row r="43" customFormat="false" ht="15" hidden="false" customHeight="false" outlineLevel="0" collapsed="false">
      <c r="A43" s="3" t="s">
        <v>125</v>
      </c>
      <c r="B43" s="3" t="n">
        <v>4</v>
      </c>
      <c r="C43" s="3" t="n">
        <v>42</v>
      </c>
      <c r="D43" s="3" t="s">
        <v>219</v>
      </c>
      <c r="E43" s="3"/>
      <c r="F43" s="3" t="s">
        <v>167</v>
      </c>
      <c r="G43" s="3" t="n">
        <v>9</v>
      </c>
      <c r="H43" s="4" t="n">
        <v>7.3</v>
      </c>
      <c r="I43" s="3"/>
    </row>
    <row r="44" customFormat="false" ht="15" hidden="false" customHeight="false" outlineLevel="0" collapsed="false">
      <c r="A44" s="3" t="s">
        <v>128</v>
      </c>
      <c r="B44" s="3" t="n">
        <v>4</v>
      </c>
      <c r="C44" s="3" t="n">
        <v>43</v>
      </c>
      <c r="D44" s="3" t="s">
        <v>220</v>
      </c>
      <c r="E44" s="3"/>
      <c r="F44" s="3" t="s">
        <v>169</v>
      </c>
      <c r="G44" s="3" t="n">
        <v>8</v>
      </c>
      <c r="H44" s="4" t="n">
        <v>6.2</v>
      </c>
      <c r="I44" s="3"/>
    </row>
    <row r="45" customFormat="false" ht="15" hidden="false" customHeight="false" outlineLevel="0" collapsed="false">
      <c r="A45" s="3" t="s">
        <v>131</v>
      </c>
      <c r="B45" s="3" t="n">
        <v>4</v>
      </c>
      <c r="C45" s="3" t="n">
        <v>44</v>
      </c>
      <c r="D45" s="3" t="s">
        <v>221</v>
      </c>
      <c r="E45" s="3"/>
      <c r="F45" s="3" t="s">
        <v>177</v>
      </c>
      <c r="G45" s="3" t="n">
        <v>9</v>
      </c>
      <c r="H45" s="4" t="n">
        <v>7.3</v>
      </c>
      <c r="I45" s="3"/>
    </row>
    <row r="46" customFormat="false" ht="15" hidden="false" customHeight="false" outlineLevel="0" collapsed="false">
      <c r="A46" s="3" t="s">
        <v>134</v>
      </c>
      <c r="B46" s="3" t="n">
        <v>4</v>
      </c>
      <c r="C46" s="3" t="n">
        <v>45</v>
      </c>
      <c r="D46" s="3" t="s">
        <v>222</v>
      </c>
      <c r="E46" s="3"/>
      <c r="F46" s="3" t="s">
        <v>169</v>
      </c>
      <c r="G46" s="3" t="n">
        <v>11</v>
      </c>
      <c r="H46" s="4" t="n">
        <v>8.5</v>
      </c>
      <c r="I46" s="3"/>
    </row>
    <row r="47" customFormat="false" ht="15" hidden="false" customHeight="false" outlineLevel="0" collapsed="false">
      <c r="A47" s="5" t="s">
        <v>137</v>
      </c>
      <c r="B47" s="5" t="n">
        <v>4</v>
      </c>
      <c r="C47" s="5" t="n">
        <v>46</v>
      </c>
      <c r="D47" s="5" t="s">
        <v>223</v>
      </c>
      <c r="E47" s="5" t="s">
        <v>200</v>
      </c>
      <c r="F47" s="5"/>
      <c r="G47" s="5" t="n">
        <v>0</v>
      </c>
      <c r="H47" s="6" t="n">
        <v>6</v>
      </c>
      <c r="I47" s="5" t="s">
        <v>224</v>
      </c>
    </row>
    <row r="48" customFormat="false" ht="15" hidden="false" customHeight="false" outlineLevel="0" collapsed="false">
      <c r="A48" s="3" t="s">
        <v>139</v>
      </c>
      <c r="B48" s="3" t="n">
        <v>4</v>
      </c>
      <c r="C48" s="3" t="n">
        <v>47</v>
      </c>
      <c r="D48" s="3" t="s">
        <v>225</v>
      </c>
      <c r="E48" s="3"/>
      <c r="F48" s="3" t="s">
        <v>171</v>
      </c>
      <c r="G48" s="3" t="n">
        <v>8</v>
      </c>
      <c r="H48" s="4" t="n">
        <v>6.7</v>
      </c>
      <c r="I48" s="3"/>
    </row>
    <row r="49" customFormat="false" ht="23.85" hidden="false" customHeight="false" outlineLevel="0" collapsed="false">
      <c r="A49" s="5" t="s">
        <v>142</v>
      </c>
      <c r="B49" s="5" t="n">
        <v>4</v>
      </c>
      <c r="C49" s="5" t="n">
        <v>48</v>
      </c>
      <c r="D49" s="5" t="s">
        <v>226</v>
      </c>
      <c r="E49" s="5"/>
      <c r="F49" s="5" t="s">
        <v>169</v>
      </c>
      <c r="G49" s="5" t="n">
        <v>10</v>
      </c>
      <c r="H49" s="6" t="n">
        <v>7.9</v>
      </c>
      <c r="I49" s="5" t="s">
        <v>227</v>
      </c>
    </row>
    <row r="50" customFormat="false" ht="15" hidden="false" customHeight="false" outlineLevel="0" collapsed="false">
      <c r="A50" s="5" t="s">
        <v>145</v>
      </c>
      <c r="B50" s="5" t="n">
        <v>4</v>
      </c>
      <c r="C50" s="5" t="n">
        <v>49</v>
      </c>
      <c r="D50" s="5" t="s">
        <v>228</v>
      </c>
      <c r="E50" s="5"/>
      <c r="F50" s="5" t="s">
        <v>193</v>
      </c>
      <c r="G50" s="5" t="n">
        <v>9</v>
      </c>
      <c r="H50" s="6" t="n">
        <v>7.8</v>
      </c>
      <c r="I50" s="5" t="s">
        <v>229</v>
      </c>
    </row>
    <row r="51" customFormat="false" ht="15" hidden="false" customHeight="false" outlineLevel="0" collapsed="false">
      <c r="A51" s="5" t="s">
        <v>148</v>
      </c>
      <c r="B51" s="5" t="n">
        <v>4</v>
      </c>
      <c r="C51" s="5" t="n">
        <v>49</v>
      </c>
      <c r="D51" s="5" t="s">
        <v>228</v>
      </c>
      <c r="E51" s="5"/>
      <c r="F51" s="5" t="s">
        <v>169</v>
      </c>
      <c r="G51" s="5" t="n">
        <v>9</v>
      </c>
      <c r="H51" s="6" t="n">
        <v>7.3</v>
      </c>
      <c r="I51" s="5" t="s">
        <v>230</v>
      </c>
    </row>
    <row r="52" customFormat="false" ht="35.05" hidden="false" customHeight="false" outlineLevel="0" collapsed="false">
      <c r="A52" s="5" t="s">
        <v>151</v>
      </c>
      <c r="B52" s="5" t="n">
        <v>4</v>
      </c>
      <c r="C52" s="5" t="n">
        <v>50</v>
      </c>
      <c r="D52" s="5" t="s">
        <v>231</v>
      </c>
      <c r="E52" s="5"/>
      <c r="F52" s="5" t="s">
        <v>173</v>
      </c>
      <c r="G52" s="5" t="n">
        <v>10</v>
      </c>
      <c r="H52" s="6" t="n">
        <v>8.4</v>
      </c>
      <c r="I52" s="5" t="s">
        <v>232</v>
      </c>
    </row>
    <row r="53" customFormat="false" ht="23.85" hidden="false" customHeight="false" outlineLevel="0" collapsed="false">
      <c r="A53" s="5" t="s">
        <v>154</v>
      </c>
      <c r="B53" s="5" t="n">
        <v>4</v>
      </c>
      <c r="C53" s="5" t="n">
        <v>50</v>
      </c>
      <c r="D53" s="5" t="s">
        <v>231</v>
      </c>
      <c r="E53" s="5"/>
      <c r="F53" s="5" t="s">
        <v>167</v>
      </c>
      <c r="G53" s="5" t="n">
        <v>8</v>
      </c>
      <c r="H53" s="6" t="n">
        <v>6.2</v>
      </c>
      <c r="I53" s="5" t="s">
        <v>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3"/>
    <col collapsed="false" customWidth="true" hidden="false" outlineLevel="0" max="4" min="4" style="0" width="40"/>
    <col collapsed="false" customWidth="true" hidden="false" outlineLevel="0" max="6" min="5" style="0" width="12"/>
    <col collapsed="false" customWidth="true" hidden="false" outlineLevel="0" max="7" min="7" style="0" width="14"/>
  </cols>
  <sheetData>
    <row r="1" customFormat="false" ht="23.85" hidden="false" customHeight="false" outlineLevel="0" collapsed="false">
      <c r="A1" s="1" t="s">
        <v>157</v>
      </c>
      <c r="B1" s="1" t="s">
        <v>159</v>
      </c>
      <c r="C1" s="1" t="s">
        <v>234</v>
      </c>
      <c r="D1" s="1" t="s">
        <v>235</v>
      </c>
      <c r="E1" s="1" t="s">
        <v>236</v>
      </c>
      <c r="F1" s="1" t="s">
        <v>237</v>
      </c>
      <c r="G1" s="1" t="s">
        <v>238</v>
      </c>
    </row>
    <row r="2" customFormat="false" ht="15" hidden="false" customHeight="false" outlineLevel="0" collapsed="false">
      <c r="A2" s="3" t="n">
        <v>1</v>
      </c>
      <c r="B2" s="3" t="s">
        <v>239</v>
      </c>
      <c r="C2" s="3" t="s">
        <v>240</v>
      </c>
      <c r="D2" s="3" t="s">
        <v>241</v>
      </c>
      <c r="E2" s="4" t="n">
        <v>104</v>
      </c>
      <c r="F2" s="7" t="n">
        <f aca="false">SUMIF('Chi tiet'!$B$2:$B$53,A2,'Chi tiet'!$H$2:$H$53)</f>
        <v>82.4</v>
      </c>
      <c r="G2" s="7" t="n">
        <f aca="false">F2-E2</f>
        <v>-21.6</v>
      </c>
    </row>
    <row r="3" customFormat="false" ht="23.85" hidden="false" customHeight="false" outlineLevel="0" collapsed="false">
      <c r="A3" s="3" t="n">
        <v>2</v>
      </c>
      <c r="B3" s="3" t="s">
        <v>242</v>
      </c>
      <c r="C3" s="3" t="s">
        <v>243</v>
      </c>
      <c r="D3" s="3" t="s">
        <v>244</v>
      </c>
      <c r="E3" s="4" t="n">
        <v>112</v>
      </c>
      <c r="F3" s="7" t="n">
        <f aca="false">SUMIF('Chi tiet'!$B$2:$B$53,A3,'Chi tiet'!$H$2:$H$53)</f>
        <v>92.3</v>
      </c>
      <c r="G3" s="7" t="n">
        <f aca="false">F3-E3</f>
        <v>-19.7</v>
      </c>
    </row>
    <row r="4" customFormat="false" ht="15" hidden="false" customHeight="false" outlineLevel="0" collapsed="false">
      <c r="A4" s="3" t="n">
        <v>3</v>
      </c>
      <c r="B4" s="3" t="s">
        <v>245</v>
      </c>
      <c r="C4" s="3" t="s">
        <v>246</v>
      </c>
      <c r="D4" s="3" t="s">
        <v>247</v>
      </c>
      <c r="E4" s="4" t="n">
        <v>96</v>
      </c>
      <c r="F4" s="7" t="n">
        <f aca="false">SUMIF('Chi tiet'!$B$2:$B$53,A4,'Chi tiet'!$H$2:$H$53)</f>
        <v>83.1</v>
      </c>
      <c r="G4" s="7" t="n">
        <f aca="false">F4-E4</f>
        <v>-12.9</v>
      </c>
    </row>
    <row r="5" customFormat="false" ht="15" hidden="false" customHeight="false" outlineLevel="0" collapsed="false">
      <c r="A5" s="3" t="n">
        <v>4</v>
      </c>
      <c r="B5" s="3" t="s">
        <v>248</v>
      </c>
      <c r="C5" s="3" t="s">
        <v>249</v>
      </c>
      <c r="D5" s="3" t="s">
        <v>250</v>
      </c>
      <c r="E5" s="4" t="n">
        <v>88</v>
      </c>
      <c r="F5" s="7" t="n">
        <f aca="false">SUMIF('Chi tiet'!$B$2:$B$53,A5,'Chi tiet'!$H$2:$H$53)</f>
        <v>93.6</v>
      </c>
      <c r="G5" s="7" t="n">
        <f aca="false">F5-E5</f>
        <v>5.59999999999999</v>
      </c>
    </row>
    <row r="6" customFormat="false" ht="15" hidden="false" customHeight="false" outlineLevel="0" collapsed="false">
      <c r="A6" s="8"/>
      <c r="B6" s="8" t="s">
        <v>251</v>
      </c>
      <c r="C6" s="8"/>
      <c r="D6" s="8"/>
      <c r="E6" s="8" t="n">
        <f aca="false">SUM(E2:E5)</f>
        <v>400</v>
      </c>
      <c r="F6" s="9" t="n">
        <f aca="false">SUM(F2:F5)</f>
        <v>351.4</v>
      </c>
      <c r="G6" s="9" t="n">
        <f aca="false">F6-E6</f>
        <v>-48.6</v>
      </c>
    </row>
    <row r="8" customFormat="false" ht="15" hidden="false" customHeight="false" outlineLevel="0" collapsed="false">
      <c r="B8" s="10" t="s">
        <v>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6"/>
    <col collapsed="false" customWidth="true" hidden="false" outlineLevel="0" max="4" min="4" style="0" width="70"/>
    <col collapsed="false" customWidth="true" hidden="false" outlineLevel="0" max="5" min="5" style="0" width="36"/>
  </cols>
  <sheetData>
    <row r="1" customFormat="false" ht="23.85" hidden="false" customHeight="false" outlineLevel="0" collapsed="false">
      <c r="A1" s="1" t="s">
        <v>253</v>
      </c>
      <c r="B1" s="1" t="s">
        <v>254</v>
      </c>
      <c r="C1" s="1" t="s">
        <v>255</v>
      </c>
      <c r="D1" s="1" t="s">
        <v>256</v>
      </c>
      <c r="E1" s="1" t="s">
        <v>257</v>
      </c>
    </row>
    <row r="2" customFormat="false" ht="113.4" hidden="false" customHeight="false" outlineLevel="0" collapsed="false">
      <c r="A2" s="3" t="s">
        <v>169</v>
      </c>
      <c r="B2" s="3" t="s">
        <v>258</v>
      </c>
      <c r="C2" s="3" t="s">
        <v>259</v>
      </c>
      <c r="D2" s="3" t="s">
        <v>260</v>
      </c>
      <c r="E2" s="3" t="s">
        <v>261</v>
      </c>
    </row>
    <row r="3" customFormat="false" ht="35.05" hidden="false" customHeight="false" outlineLevel="0" collapsed="false">
      <c r="A3" s="3" t="s">
        <v>167</v>
      </c>
      <c r="B3" s="3" t="s">
        <v>262</v>
      </c>
      <c r="C3" s="3" t="s">
        <v>263</v>
      </c>
      <c r="D3" s="3" t="s">
        <v>264</v>
      </c>
      <c r="E3" s="3" t="s">
        <v>265</v>
      </c>
    </row>
    <row r="4" customFormat="false" ht="23.85" hidden="false" customHeight="false" outlineLevel="0" collapsed="false">
      <c r="A4" s="3" t="s">
        <v>173</v>
      </c>
      <c r="B4" s="3" t="s">
        <v>266</v>
      </c>
      <c r="C4" s="3" t="s">
        <v>267</v>
      </c>
      <c r="D4" s="3" t="s">
        <v>268</v>
      </c>
      <c r="E4" s="3" t="s">
        <v>269</v>
      </c>
    </row>
    <row r="5" customFormat="false" ht="23.85" hidden="false" customHeight="false" outlineLevel="0" collapsed="false">
      <c r="A5" s="3" t="s">
        <v>177</v>
      </c>
      <c r="B5" s="3" t="s">
        <v>270</v>
      </c>
      <c r="C5" s="3" t="s">
        <v>271</v>
      </c>
      <c r="D5" s="3" t="s">
        <v>272</v>
      </c>
      <c r="E5" s="3" t="s">
        <v>269</v>
      </c>
    </row>
    <row r="6" customFormat="false" ht="23.85" hidden="false" customHeight="false" outlineLevel="0" collapsed="false">
      <c r="A6" s="3" t="s">
        <v>193</v>
      </c>
      <c r="B6" s="3" t="s">
        <v>273</v>
      </c>
      <c r="C6" s="3" t="s">
        <v>274</v>
      </c>
      <c r="D6" s="3" t="s">
        <v>275</v>
      </c>
      <c r="E6" s="3" t="s">
        <v>276</v>
      </c>
    </row>
    <row r="7" customFormat="false" ht="23.85" hidden="false" customHeight="false" outlineLevel="0" collapsed="false">
      <c r="A7" s="3" t="s">
        <v>171</v>
      </c>
      <c r="B7" s="3" t="s">
        <v>277</v>
      </c>
      <c r="C7" s="3" t="s">
        <v>278</v>
      </c>
      <c r="D7" s="3" t="s">
        <v>279</v>
      </c>
      <c r="E7" s="3" t="s">
        <v>269</v>
      </c>
    </row>
    <row r="9" customFormat="false" ht="15" hidden="false" customHeight="false" outlineLevel="0" collapsed="false">
      <c r="A9" s="11" t="s">
        <v>280</v>
      </c>
      <c r="C9" s="12" t="s">
        <v>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90"/>
    <col collapsed="false" customWidth="true" hidden="false" outlineLevel="0" max="3" min="3" style="0" width="24"/>
  </cols>
  <sheetData>
    <row r="1" customFormat="false" ht="15" hidden="false" customHeight="false" outlineLevel="0" collapsed="false">
      <c r="A1" s="1" t="s">
        <v>282</v>
      </c>
      <c r="B1" s="1" t="s">
        <v>283</v>
      </c>
      <c r="C1" s="1" t="s">
        <v>1</v>
      </c>
    </row>
    <row r="2" customFormat="false" ht="15" hidden="false" customHeight="false" outlineLevel="0" collapsed="false">
      <c r="A2" s="3" t="s">
        <v>284</v>
      </c>
      <c r="B2" s="3" t="s">
        <v>285</v>
      </c>
      <c r="C2" s="3" t="s">
        <v>286</v>
      </c>
    </row>
    <row r="3" customFormat="false" ht="15" hidden="false" customHeight="false" outlineLevel="0" collapsed="false">
      <c r="A3" s="3" t="s">
        <v>287</v>
      </c>
      <c r="B3" s="3" t="s">
        <v>288</v>
      </c>
      <c r="C3" s="3" t="s">
        <v>289</v>
      </c>
    </row>
    <row r="4" customFormat="false" ht="15" hidden="false" customHeight="false" outlineLevel="0" collapsed="false">
      <c r="A4" s="3" t="s">
        <v>290</v>
      </c>
      <c r="B4" s="3" t="s">
        <v>291</v>
      </c>
      <c r="C4" s="3" t="s">
        <v>36</v>
      </c>
    </row>
    <row r="5" customFormat="false" ht="15" hidden="false" customHeight="false" outlineLevel="0" collapsed="false">
      <c r="A5" s="3" t="s">
        <v>292</v>
      </c>
      <c r="B5" s="3" t="s">
        <v>293</v>
      </c>
      <c r="C5" s="3" t="s">
        <v>294</v>
      </c>
    </row>
    <row r="6" customFormat="false" ht="23.85" hidden="false" customHeight="false" outlineLevel="0" collapsed="false">
      <c r="A6" s="3" t="s">
        <v>295</v>
      </c>
      <c r="B6" s="3" t="s">
        <v>296</v>
      </c>
      <c r="C6" s="3" t="s">
        <v>297</v>
      </c>
    </row>
    <row r="7" customFormat="false" ht="23.85" hidden="false" customHeight="false" outlineLevel="0" collapsed="false">
      <c r="A7" s="3" t="s">
        <v>298</v>
      </c>
      <c r="B7" s="3" t="s">
        <v>299</v>
      </c>
      <c r="C7" s="3" t="s">
        <v>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0"/>
  </cols>
  <sheetData>
    <row r="1" customFormat="false" ht="15" hidden="false" customHeight="false" outlineLevel="0" collapsed="false">
      <c r="A1" s="1" t="s">
        <v>301</v>
      </c>
      <c r="B1" s="1" t="s">
        <v>302</v>
      </c>
    </row>
    <row r="2" customFormat="false" ht="15" hidden="false" customHeight="false" outlineLevel="0" collapsed="false">
      <c r="A2" s="3" t="s">
        <v>303</v>
      </c>
      <c r="B2" s="3" t="s">
        <v>304</v>
      </c>
    </row>
    <row r="3" customFormat="false" ht="15" hidden="false" customHeight="false" outlineLevel="0" collapsed="false">
      <c r="A3" s="3" t="s">
        <v>305</v>
      </c>
      <c r="B3" s="3" t="s">
        <v>306</v>
      </c>
    </row>
    <row r="4" customFormat="false" ht="15" hidden="false" customHeight="false" outlineLevel="0" collapsed="false">
      <c r="A4" s="3" t="s">
        <v>307</v>
      </c>
      <c r="B4" s="3" t="s">
        <v>308</v>
      </c>
    </row>
    <row r="5" customFormat="false" ht="15" hidden="false" customHeight="false" outlineLevel="0" collapsed="false">
      <c r="A5" s="3" t="s">
        <v>309</v>
      </c>
      <c r="B5" s="3" t="s">
        <v>310</v>
      </c>
    </row>
    <row r="6" customFormat="false" ht="15" hidden="false" customHeight="false" outlineLevel="0" collapsed="false">
      <c r="A6" s="3" t="s">
        <v>311</v>
      </c>
      <c r="B6" s="3" t="s">
        <v>312</v>
      </c>
    </row>
    <row r="8" customFormat="false" ht="28.35" hidden="false" customHeight="false" outlineLevel="0" collapsed="false">
      <c r="A8" s="11" t="s">
        <v>313</v>
      </c>
      <c r="B8" s="13" t="s">
        <v>314</v>
      </c>
    </row>
    <row r="9" customFormat="false" ht="15" hidden="false" customHeight="false" outlineLevel="0" collapsed="false">
      <c r="B9" s="0" t="s">
        <v>315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4" t="s">
        <v>316</v>
      </c>
    </row>
    <row r="2" customFormat="false" ht="15" hidden="false" customHeight="false" outlineLevel="0" collapsed="false">
      <c r="A2" s="15" t="s">
        <v>317</v>
      </c>
    </row>
    <row r="3" customFormat="false" ht="15" hidden="false" customHeight="false" outlineLevel="0" collapsed="false">
      <c r="A3" s="15" t="s">
        <v>318</v>
      </c>
    </row>
    <row r="4" customFormat="false" ht="15" hidden="false" customHeight="false" outlineLevel="0" collapsed="false">
      <c r="A4" s="15" t="s">
        <v>319</v>
      </c>
    </row>
    <row r="5" customFormat="false" ht="15" hidden="false" customHeight="false" outlineLevel="0" collapsed="false">
      <c r="A5" s="15" t="s">
        <v>320</v>
      </c>
    </row>
    <row r="6" customFormat="false" ht="15" hidden="false" customHeight="false" outlineLevel="0" collapsed="false">
      <c r="A6" s="15" t="s">
        <v>321</v>
      </c>
    </row>
    <row r="7" customFormat="false" ht="15" hidden="false" customHeight="false" outlineLevel="0" collapsed="false">
      <c r="A7" s="15" t="s">
        <v>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2026-10-08T07:58:22Z</dcterms:created>
  <dc:creator>openpyxl</dc:creator>
  <dc:description/>
  <dc:language>en-US</dc:language>
  <cp:lastModifiedBy/>
  <dcterms:modified xsi:type="dcterms:W3CDTF">2026-10-08T07:58:22Z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