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ich ban" sheetId="1" state="visible" r:id="rId3"/>
    <sheet name="Chi tiet" sheetId="2" state="visible" r:id="rId4"/>
    <sheet name="Hoi" sheetId="3" state="visible" r:id="rId5"/>
    <sheet name="Nhan vat" sheetId="4" state="visible" r:id="rId6"/>
    <sheet name="Boi canh" sheetId="5" state="visible" r:id="rId7"/>
    <sheet name="Tu vung" sheetId="6" state="visible" r:id="rId8"/>
    <sheet name="Huong dan" sheetId="7" state="visible" r:id="rId9"/>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Giá trị nhập (chữ xanh): số từ ÷ 1,7 + 0,5 giây mỗi lần ngắt câu + 1,5 giây đệm; cảnh không thoại mặc định 6 giây. Tool sẽ tính lại.</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Giá trị nhập (chữ xanh): tính từ mốc thời gian của từng HỒI trong kịch bản.</t>
        </r>
      </text>
    </comment>
  </commentList>
</comments>
</file>

<file path=xl/sharedStrings.xml><?xml version="1.0" encoding="utf-8"?>
<sst xmlns="http://schemas.openxmlformats.org/spreadsheetml/2006/main" count="544" uniqueCount="389">
  <si>
    <t xml:space="preserve">STT</t>
  </si>
  <si>
    <t xml:space="preserve">Cảnh</t>
  </si>
  <si>
    <t xml:space="preserve">Thoại</t>
  </si>
  <si>
    <t xml:space="preserve">001</t>
  </si>
  <si>
    <t xml:space="preserve">[Hồi 1 – HAI CÔ BÉ, MỘT CHIẾC VƯƠNG MIỆN] Cảnh 001 – The Halloween Crown [HOOK]
Hội trường trường học được trang trí bằng bí ngô, dơi giấy và những dải đèn tím. Ms. Rose mở chiếc hộp nhung, để lộ chiếc vương miện bạc đính mặt trăng tím.</t>
  </si>
  <si>
    <t xml:space="preserve">Ms. Rose: Tonight, one girl will become our Halloween Queen!</t>
  </si>
  <si>
    <t xml:space="preserve">002</t>
  </si>
  <si>
    <t xml:space="preserve">[Hồi 1 – HAI CÔ BÉ, MỘT CHIẾC VƯƠNG MIỆN] Cảnh 002 – Ivy's Dream [HOOK]
Ivy đứng gần sân khấu, nhìn chiếc vương miện đầy hy vọng. Cô ôm chiếc mũ phù thủy tím do mình tự làm, trên mũ có các ngôi sao khâu tay.</t>
  </si>
  <si>
    <t xml:space="preserve">Ivy: I worked so hard. Maybe everyone will notice me tonight!</t>
  </si>
  <si>
    <t xml:space="preserve">003</t>
  </si>
  <si>
    <t xml:space="preserve">[Hồi 1 – HAI CÔ BÉ, MỘT CHIẾC VƯƠNG MIỆN] Cảnh 003 – Everyone Notices Ella
Ở phía bên kia hội trường, Ella đang khoe bản vẽ trang phục Nàng Tiên Ánh Trăng. Vài bạn học hào hứng vây quanh.</t>
  </si>
  <si>
    <t xml:space="preserve">Ms. Rose: Ella, that's a wonderful idea! You're so creative!</t>
  </si>
  <si>
    <t xml:space="preserve">004</t>
  </si>
  <si>
    <t xml:space="preserve">[Hồi 1 – HAI CÔ BÉ, MỘT CHIẾC VƯƠNG MIỆN] Cảnh 004 – The Forgotten Witch
Ivy tiến lại với chiếc mũ của mình. Khi cô chuẩn bị khoe nó, các bạn đã chạy theo Ella để xem bản vẽ khác.</t>
  </si>
  <si>
    <t xml:space="preserve">Ivy: But... I made something special too.</t>
  </si>
  <si>
    <t xml:space="preserve">005</t>
  </si>
  <si>
    <t xml:space="preserve">[Hồi 1 – HAI CÔ BÉ, MỘT CHIẾC VƯƠNG MIỆN] Cảnh 005 – Ivy's Hidden Sadness [KHÔNG THOẠI]
Ivy ngồi một mình, vuốt nhẹ đường chỉ trên chiếc mũ phù thủy. Cô nhìn đám đông quanh Ella, rồi cúi xuống nhìn đôi tay mình.</t>
  </si>
  <si>
    <t xml:space="preserve">006a</t>
  </si>
  <si>
    <t xml:space="preserve">[Hồi 1 – HAI CÔ BÉ, MỘT CHIẾC VƯƠNG MIỆN] Cảnh 006 – Ella Tries to Be Friendly
Ella nhìn thấy Ivy và chủ động đến gần. (Phần 1/2: máy quay tập trung vào Ella.)</t>
  </si>
  <si>
    <t xml:space="preserve">Ella: Ivy, I love the stars on your hat!</t>
  </si>
  <si>
    <t xml:space="preserve">006b</t>
  </si>
  <si>
    <t xml:space="preserve">[Hồi 1 – HAI CÔ BÉ, MỘT CHIẾC VƯƠNG MIỆN] Cảnh 006 – Ella Tries to Be Friendly
Ella nhìn thấy Ivy và chủ động đến gần. (Phần 2/2: máy quay tập trung vào Ivy.) Sau thoại: Ella ngạc nhiên, không hiểu vì sao Ivy tức giận.</t>
  </si>
  <si>
    <t xml:space="preserve">Ivy: You always get the attention. Leave me alone!</t>
  </si>
  <si>
    <t xml:space="preserve">007</t>
  </si>
  <si>
    <t xml:space="preserve">[Hồi 1 – HAI CÔ BÉ, MỘT CHIẾC VƯƠNG MIỆN] Cảnh 007 – Halloween Shopping
Chiều hôm đó, Ella đi mua trang phục cùng gia đình. Oliver chạy khắp cửa hàng ngắm những bộ đồ Halloween.</t>
  </si>
  <si>
    <t xml:space="preserve">Oliver: Dad! Look! I can be a giant pumpkin!</t>
  </si>
  <si>
    <t xml:space="preserve">008</t>
  </si>
  <si>
    <t xml:space="preserve">[Hồi 1 – HAI CÔ BÉ, MỘT CHIẾC VƯƠNG MIỆN] Cảnh 008 – The Wrong Dresses
Ella thử một chiếc váy đỏ và một chiếc váy tím. Cả hai đều đẹp nhưng không giống hình dung của cô.</t>
  </si>
  <si>
    <t xml:space="preserve">Ella: They are pretty, but they don't feel right.</t>
  </si>
  <si>
    <t xml:space="preserve">009</t>
  </si>
  <si>
    <t xml:space="preserve">[Hồi 1 – HAI CÔ BÉ, MỘT CHIẾC VƯƠNG MIỆN] Cảnh 009 – The Blue Dress
Dad tìm được một chiếc váy xanh đậm có những ngôi sao bạc nhỏ.</t>
  </si>
  <si>
    <t xml:space="preserve">Dad: Ella, how about this beautiful blue dress?</t>
  </si>
  <si>
    <t xml:space="preserve">010</t>
  </si>
  <si>
    <t xml:space="preserve">[Hồi 1 – HAI CÔ BÉ, MỘT CHIẾC VƯƠNG MIỆN] Cảnh 010 – The Silver Cape
Mom mang đến chiếc áo choàng bạc dài, mỏng và mềm.</t>
  </si>
  <si>
    <t xml:space="preserve">Mom: This silver cape will make you look like a moon fairy!</t>
  </si>
  <si>
    <t xml:space="preserve">011</t>
  </si>
  <si>
    <t xml:space="preserve">[Hồi 1 – HAI CÔ BÉ, MỘT CHIẾC VƯƠNG MIỆN] Cảnh 011 – Ella's Perfect Costume
Ella mặc váy xanh, khoác áo choàng bạc và xoay nhẹ trước gương. Cô vui vẻ mở rộng hai tay.</t>
  </si>
  <si>
    <t xml:space="preserve">Ella: I love it! I am the Moon Fairy!</t>
  </si>
  <si>
    <t xml:space="preserve">012</t>
  </si>
  <si>
    <t xml:space="preserve">[Hồi 1 – HAI CÔ BÉ, MỘT CHIẾC VƯƠNG MIỆN] Cảnh 012 – A Little Magic
Tại nhà, cả gia đình cùng trang trí váy bằng những ngôi sao dạ quang. Dad thử chiếu đèn blacklight lên các ngôi sao để chúng phát sáng.</t>
  </si>
  <si>
    <t xml:space="preserve">Oliver: Wow! Your dress looks like a magical night sky!</t>
  </si>
  <si>
    <t xml:space="preserve">013</t>
  </si>
  <si>
    <t xml:space="preserve">[Hồi 2 – SỰ GHEN TỊ VÀ CHIẾC VÁY BỊ RÁCH] Cảnh 013 – The Halloween Ball
Đêm Halloween bắt đầu. Hội trường rực rỡ với lâu đài ma, bí ngô và ánh đèn vàng cam. Oliver mặc bộ đồ bí ngô, vui vẻ đi cạnh Mom và Dad.</t>
  </si>
  <si>
    <t xml:space="preserve">Oliver: This is the best Halloween party ever!</t>
  </si>
  <si>
    <t xml:space="preserve">014</t>
  </si>
  <si>
    <t xml:space="preserve">[Hồi 2 – SỰ GHEN TỊ VÀ CHIẾC VÁY BỊ RÁCH] Cảnh 014 – The Moon Fairy Arrives
Ella bước vào hội trường trong chiếc váy xanh và áo choàng bạc. Mọi người ngạc nhiên trước trang phục độc đáo.</t>
  </si>
  <si>
    <t xml:space="preserve">Dad: My little Moon Fairy looks wonderful tonight!</t>
  </si>
  <si>
    <t xml:space="preserve">015</t>
  </si>
  <si>
    <t xml:space="preserve">[Hồi 2 – SỰ GHEN TỊ VÀ CHIẾC VÁY BỊ RÁCH] Cảnh 015 – Ivy's Beautiful Witch Hat
Ivy xuất hiện trong chiếc váy phù thủy tím đen, đội chiếc mũ tự làm. Cô vui vẻ bước vào nhưng nhanh chóng nhận ra mọi người đang chú ý đến Ella.</t>
  </si>
  <si>
    <t xml:space="preserve">Ivy: I made this hat myself. Why won't anyone look?</t>
  </si>
  <si>
    <t xml:space="preserve">016</t>
  </si>
  <si>
    <t xml:space="preserve">[Hồi 2 – SỰ GHEN TỊ VÀ CHIẾC VÁY BỊ RÁCH] Cảnh 016 – Another Painful Moment
Ivy định đến chụp ảnh trước sân khấu, nhưng các bạn lại mời Ella vào chụp cùng. Ivy đứng một mình bên ngoài khung hình.</t>
  </si>
  <si>
    <t xml:space="preserve">Ivy: Ella gets everything. I just want one special night.</t>
  </si>
  <si>
    <t xml:space="preserve">017a</t>
  </si>
  <si>
    <t xml:space="preserve">[Hồi 2 – SỰ GHEN TỊ VÀ CHIẾC VÁY BỊ RÁCH] Cảnh 017 – Ella Gives a Compliment
Ella thấy Ivy đứng một mình và đến gần. (Phần 1/2: máy quay tập trung vào Ella.)</t>
  </si>
  <si>
    <t xml:space="preserve">Ella: Ivy, your costume is beautiful! Did you make that hat?</t>
  </si>
  <si>
    <t xml:space="preserve">017b</t>
  </si>
  <si>
    <t xml:space="preserve">[Hồi 2 – SỰ GHEN TỊ VÀ CHIẾC VÁY BỊ RÁCH] Cảnh 017 – Ella Gives a Compliment
Ella thấy Ivy đứng một mình và đến gần. (Phần 2/2: máy quay tập trung vào Ivy.) Sau thoại: Ella bối rối khi Ivy quay đi.</t>
  </si>
  <si>
    <t xml:space="preserve">Ivy: Yes, I did. But nobody cares!</t>
  </si>
  <si>
    <t xml:space="preserve">018</t>
  </si>
  <si>
    <t xml:space="preserve">[Hồi 2 – SỰ GHEN TỊ VÀ CHIẾC VÁY BỊ RÁCH] Cảnh 018 – One More Photo
Oliver giơ chiếc máy ảnh của Dad về phía Ella.</t>
  </si>
  <si>
    <t xml:space="preserve">Oliver: Ella, turn around! Show me your silver cape!</t>
  </si>
  <si>
    <t xml:space="preserve">019</t>
  </si>
  <si>
    <t xml:space="preserve">[Hồi 2 – SỰ GHEN TỊ VÀ CHIẾC VÁY BỊ RÁCH] Cảnh 019 – Ivy Makes a Bad Choice [KỊCH TÍNH]
Ivy đứng phía sau Ella. Phần cuối áo choàng bạc đang trải trên sàn ngay cạnh chân cô. Ivy nhìn xung quanh, rồi cố tình đặt chân giữ chặt mép áo choàng.</t>
  </si>
  <si>
    <t xml:space="preserve">Ivy: She won't look so perfect after this.</t>
  </si>
  <si>
    <t xml:space="preserve">020</t>
  </si>
  <si>
    <t xml:space="preserve">[Hồi 2 – SỰ GHEN TỊ VÀ CHIẾC VÁY BỊ RÁCH] Cảnh 020 – The Dress Tears [KHÔNG THOẠI]
Ella bước lên một bước. Phần vải bạc căng ra rồi rách toạc từ phía dưới. Ella giật mình dừng lại. Ivy vẫn đứng trên mép vải trong khoảnh khắc trước khi vội rút chân.</t>
  </si>
  <si>
    <t xml:space="preserve">021a</t>
  </si>
  <si>
    <t xml:space="preserve">[Hồi 2 – SỰ GHEN TỊ VÀ CHIẾC VÁY BỊ RÁCH] Cảnh 021 – Ella Sees the Truth [KỊCH TÍNH]
Ella quay lại và nhìn thấy chân Ivy vừa rời khỏi mảnh áo choàng rách. (Phần 1/2: máy quay tập trung vào Ella.)</t>
  </si>
  <si>
    <t xml:space="preserve">Ella: Ivy! I saw your foot on my cape!</t>
  </si>
  <si>
    <t xml:space="preserve">021b</t>
  </si>
  <si>
    <t xml:space="preserve">[Hồi 2 – SỰ GHEN TỊ VÀ CHIẾC VÁY BỊ RÁCH] Cảnh 021 – Ella Sees the Truth [KỊCH TÍNH]
Ella quay lại và nhìn thấy chân Ivy vừa rời khỏi mảnh áo choàng rách. (Phần 2/2: máy quay tập trung vào Ivy.) Sau thoại: Ivy quay đi, tránh ánh mắt Ella.</t>
  </si>
  <si>
    <t xml:space="preserve">Ivy: I... I didn't mean to!</t>
  </si>
  <si>
    <t xml:space="preserve">022</t>
  </si>
  <si>
    <t xml:space="preserve">[Hồi 2 – SỰ GHEN TỊ VÀ CHIẾC VÁY BỊ RÁCH] Cảnh 022 – A Broken Dream
Ella cầm phần voan rách, nước mắt bắt đầu rơi. Cô không chỉ buồn vì chiếc váy mà còn vì Ivy cố tình làm tổn thương mình.</t>
  </si>
  <si>
    <t xml:space="preserve">Ella: She did it on purpose. Why does she hate me?</t>
  </si>
  <si>
    <t xml:space="preserve">023</t>
  </si>
  <si>
    <t xml:space="preserve">[Hồi 2 – SỰ GHEN TỊ VÀ CHIẾC VÁY BỊ RÁCH] Cảnh 023 – Mom's Comfort
Mom ôm Ella, đưa con vào phòng chuẩn bị phía sau sân khấu.</t>
  </si>
  <si>
    <t xml:space="preserve">Mom: What Ivy did was wrong. Let's take care of you first.</t>
  </si>
  <si>
    <t xml:space="preserve">024</t>
  </si>
  <si>
    <t xml:space="preserve">[Hồi 3 – ĐÔI CÁNH MỚI VÀ MỘT LỰA CHỌN KHÓ KHĂN] Cảnh 024 – Ella Wants to Go Home
Ella ngồi trước gương trong phòng chuẩn bị, cầm chiếc áo choàng bạc rách.</t>
  </si>
  <si>
    <t xml:space="preserve">Ella: I don't want to join the contest anymore.</t>
  </si>
  <si>
    <t xml:space="preserve">025</t>
  </si>
  <si>
    <t xml:space="preserve">[Hồi 3 – ĐÔI CÁNH MỚI VÀ MỘT LỰA CHỌN KHÓ KHĂN] Cảnh 025 – Dad Understands
Dad ngồi xuống bên cạnh Ella, nhìn phần áo choàng bị rách.</t>
  </si>
  <si>
    <t xml:space="preserve">Dad: I know you're hurt. You don't have to pretend you're happy.</t>
  </si>
  <si>
    <t xml:space="preserve">026</t>
  </si>
  <si>
    <t xml:space="preserve">[Hồi 3 – ĐÔI CÁNH MỚI VÀ MỘT LỰA CHỌN KHÓ KHĂN] Cảnh 026 – Oliver's Pumpkin Wings [HÀI HƯỚC]
Oliver lấy hai miếng vải nhỏ giơ lên như cánh, lắc lư trong bộ đồ bí ngô. Sau thoại: Ella bật cười nhẹ.</t>
  </si>
  <si>
    <t xml:space="preserve">Oliver: Look! I'm a flying pumpkin!</t>
  </si>
  <si>
    <t xml:space="preserve">027</t>
  </si>
  <si>
    <t xml:space="preserve">[Hồi 3 – ĐÔI CÁNH MỚI VÀ MỘT LỰA CHỌN KHÓ KHĂN] Cảnh 027 – Mom Discovers Something
Mom trải hai mảnh voan bạc đã rách ra bàn. Cô vô tình đặt chúng đối xứng và nhận thấy hình dạng giống đôi cánh.</t>
  </si>
  <si>
    <t xml:space="preserve">Mom: Ella, look! These pieces look like wings!</t>
  </si>
  <si>
    <t xml:space="preserve">028</t>
  </si>
  <si>
    <t xml:space="preserve">[Hồi 3 – ĐÔI CÁNH MỚI VÀ MỘT LỰA CHỌN KHÓ KHĂN] Cảnh 028 – The Moon Moth
Ella nhìn hai mảnh vải và hình con bướm đêm trên bức tranh Halloween gần đó.</t>
  </si>
  <si>
    <t xml:space="preserve">Ella: Wait! I can become a Moon Moth!</t>
  </si>
  <si>
    <t xml:space="preserve">029</t>
  </si>
  <si>
    <t xml:space="preserve">[Hồi 3 – ĐÔI CÁNH MỚI VÀ MỘT LỰA CHỌN KHÓ KHĂN] Cảnh 029 – Making New Wings
Mom gấp mép vải và dùng các kẹp mềm cố định hai mảnh voan vào phần tay áo của Ella.</t>
  </si>
  <si>
    <t xml:space="preserve">Mom: Lift your arms, Ella. Let's see your wings!</t>
  </si>
  <si>
    <t xml:space="preserve">030</t>
  </si>
  <si>
    <t xml:space="preserve">[Hồi 3 – ĐÔI CÁNH MỚI VÀ MỘT LỰA CHỌN KHÓ KHĂN] Cảnh 030 – Oliver's Special Stars
Oliver mang những ngôi sao dạ quang từ túi trang trí của mình đặt lên bàn.</t>
  </si>
  <si>
    <t xml:space="preserve">Oliver: Take my stars! They will make your wings shine!</t>
  </si>
  <si>
    <t xml:space="preserve">031</t>
  </si>
  <si>
    <t xml:space="preserve">[Hồi 3 – ĐÔI CÁNH MỚI VÀ MỘT LỰA CHỌN KHÓ KHĂN] Cảnh 031 – The Glowing Wings
Dad thử đèn blacklight trong khu chuẩn bị. Các họa tiết ngôi sao trên cánh bắt đầu phát sáng.</t>
  </si>
  <si>
    <t xml:space="preserve">Dad: Look at that! Your wings can glow in the dark!</t>
  </si>
  <si>
    <t xml:space="preserve">032</t>
  </si>
  <si>
    <t xml:space="preserve">[Hồi 3 – ĐÔI CÁNH MỚI VÀ MỘT LỰA CHỌN KHÓ KHĂN] Cảnh 032 – Ella's New Confidence
Ella đứng trước gương, mở hai tay. Đôi cánh bạc xòe rộng với những họa tiết phát sáng.</t>
  </si>
  <si>
    <t xml:space="preserve">Ella: It's different now. And I made something new!</t>
  </si>
  <si>
    <t xml:space="preserve">033</t>
  </si>
  <si>
    <t xml:space="preserve">[Hồi 3 – ĐÔI CÁNH MỚI VÀ MỘT LỰA CHỌN KHÓ KHĂN] Cảnh 033 – The Last Silver Ribbon
Ella nhìn thấy một dải voan bạc còn thừa trên bàn và cuộn nó lại, đặt vào túi phụ kiện.</t>
  </si>
  <si>
    <t xml:space="preserve">Ella: I'll keep this little ribbon. It may be useful.</t>
  </si>
  <si>
    <t xml:space="preserve">034</t>
  </si>
  <si>
    <t xml:space="preserve">[Hồi 3 – ĐÔI CÁNH MỚI VÀ MỘT LỰA CHỌN KHÓ KHĂN] Cảnh 034 – Trouble for Ivy [KỊCH TÍNH]
Ở một góc khác phía sau sân khấu, Ivy đang chỉnh lại chiếc mũ phù thủy. Một đường chỉ trên dây giữ mũ bị bung, khiến chiếc mũ nghiêng xuống.</t>
  </si>
  <si>
    <t xml:space="preserve">Ivy: Oh no! My hat is falling apart!</t>
  </si>
  <si>
    <t xml:space="preserve">035</t>
  </si>
  <si>
    <t xml:space="preserve">[Hồi 3 – ĐÔI CÁNH MỚI VÀ MỘT LỰA CHỌN KHÓ KHĂN] Cảnh 035 – Ivy's Worst Moment
Ivy cố buộc lại dây mũ nhưng nó liên tục tuột ra. Cô nhìn chiếc mũ mình đã dành nhiều ngày để làm, đôi mắt ngấn nước. Sau thoại: Giọng Ms. Rose vang lên từ sân khấu, thông báo lượt trình diễn của Ivy sắp đến.</t>
  </si>
  <si>
    <t xml:space="preserve">Ivy: I worked all week on this hat. Please don't break!</t>
  </si>
  <si>
    <t xml:space="preserve">036</t>
  </si>
  <si>
    <t xml:space="preserve">[Hồi 3 – ĐÔI CÁNH MỚI VÀ MỘT LỰA CHỌN KHÓ KHĂN] Cảnh 036 – Oliver Remembers
Oliver và Ella đi ngang qua chỗ Ivy. Oliver thấy Ivy đang gặp khó khăn.</t>
  </si>
  <si>
    <t xml:space="preserve">Oliver: Ella, that's Ivy! She was mean to you!</t>
  </si>
  <si>
    <t xml:space="preserve">037</t>
  </si>
  <si>
    <t xml:space="preserve">[Hồi 3 – ĐÔI CÁNH MỚI VÀ MỘT LỰA CHỌN KHÓ KHĂN] Cảnh 037 – A Difficult Decision [KHÔNG THOẠI]
Ella dừng lại, nhìn Ivy đang cố giữ chiếc mũ. Cô nhìn phần cánh bạc mới trên váy mình, rồi nhìn lại Ivy. Ella nhớ cảm giác tuyệt vọng khi chiếc váy bị rách. Cô suy nghĩ một lúc rồi tiến đến.</t>
  </si>
  <si>
    <t xml:space="preserve">038a</t>
  </si>
  <si>
    <t xml:space="preserve">[Hồi 3 – ĐÔI CÁNH MỚI VÀ MỘT LỰA CHỌN KHÓ KHĂN] Cảnh 038 – Ella Offers Help
Ella đứng trước Ivy, nhẹ nhàng đưa tay ra. (Phần 1/2: máy quay tập trung vào Ella.)</t>
  </si>
  <si>
    <t xml:space="preserve">Ella: Ivy, your hat is broken. I can help you!</t>
  </si>
  <si>
    <t xml:space="preserve">038b</t>
  </si>
  <si>
    <t xml:space="preserve">[Hồi 3 – ĐÔI CÁNH MỚI VÀ MỘT LỰA CHỌN KHÓ KHĂN] Cảnh 038 – Ella Offers Help
Ella đứng trước Ivy, nhẹ nhàng đưa tay ra. (Phần 2/2: máy quay tập trung vào Ivy.)</t>
  </si>
  <si>
    <t xml:space="preserve">Ivy: Why? You know what I did to your dress!</t>
  </si>
  <si>
    <t xml:space="preserve">039</t>
  </si>
  <si>
    <t xml:space="preserve">[Hồi 3 – ĐÔI CÁNH MỚI VÀ MỘT LỰA CHỌN KHÓ KHĂN] Cảnh 039 – Ella's Unexpected Answer
Ella nhìn thẳng vào Ivy. Sau thoại: Ivy cúi đầu, không dám nhìn Ella.</t>
  </si>
  <si>
    <t xml:space="preserve">Ella: Yes, I saw you. You really hurt me.</t>
  </si>
  <si>
    <t xml:space="preserve">040a</t>
  </si>
  <si>
    <t xml:space="preserve">[Hồi 3 – ĐÔI CÁNH MỚI VÀ MỘT LỰA CHỌN KHÓ KHĂN] Cảnh 040 – The Silver Ribbon Saves the Hat
Ella lấy dải voan bạc còn thừa và nhẹ nhàng buộc lại dây giữ mũ. Chiếc mũ phù thủy giờ có thêm một chiếc nơ bạc. (Phần 1/2: máy quay tập trung vào Ivy.)</t>
  </si>
  <si>
    <t xml:space="preserve">Ivy: You used your broken cape to fix my hat?</t>
  </si>
  <si>
    <t xml:space="preserve">040b</t>
  </si>
  <si>
    <t xml:space="preserve">[Hồi 3 – ĐÔI CÁNH MỚI VÀ MỘT LỰA CHỌN KHÓ KHĂN] Cảnh 040 – The Silver Ribbon Saves the Hat
Ella lấy dải voan bạc còn thừa và nhẹ nhàng buộc lại dây giữ mũ. Chiếc mũ phù thủy giờ có thêm một chiếc nơ bạc. (Phần 2/2: máy quay tập trung vào Ella.) Sau thoại: Ivy nhìn Ella đầy xúc động. Cô không ngờ người mình cố tình làm tổn thương lại giúp mình chân thành như vậy.</t>
  </si>
  <si>
    <t xml:space="preserve">Ella: I know how it feels when something you love breaks.</t>
  </si>
  <si>
    <t xml:space="preserve">041</t>
  </si>
  <si>
    <t xml:space="preserve">[Hồi 4 – LỜI THÚ NHẬN VÀ NỮ HOÀNG HALLOWEEN] Cảnh 041 – Ivy's Silent Regret [KHÔNG THOẠI]
Ivy nhìn chiếc nơ bạc trên mũ rồi nhìn Ella đang rời đi. Cô nhớ lại cảnh mình cố tình giẫm rách áo choàng. Ivy lau nước mắt, lấy hết can đảm bước lên sân khấu.</t>
  </si>
  <si>
    <t xml:space="preserve">042</t>
  </si>
  <si>
    <t xml:space="preserve">[Hồi 4 – LỜI THÚ NHẬN VÀ NỮ HOÀNG HALLOWEEN] Cảnh 042 – The Purple Witch
Ivy trình diễn chiếc váy phù thủy tím cùng chiếc mũ tự làm. Cô mở rộng hai tay, cúi chào khán giả.</t>
  </si>
  <si>
    <t xml:space="preserve">Ivy: I'm the Purple Witch! I made this hat myself!</t>
  </si>
  <si>
    <t xml:space="preserve">043</t>
  </si>
  <si>
    <t xml:space="preserve">[Hồi 4 – LỜI THÚ NHẬN VÀ NỮ HOÀNG HALLOWEEN] Cảnh 043 – Ella's New Costume
Đến lượt Ella. Cô bước ra giữa sân khấu trong bộ váy xanh và đôi cánh bạc.</t>
  </si>
  <si>
    <t xml:space="preserve">Ella: I'm the Moon Moth! My wings can shine in the dark!</t>
  </si>
  <si>
    <t xml:space="preserve">044</t>
  </si>
  <si>
    <t xml:space="preserve">[Hồi 4 – LỜI THÚ NHẬN VÀ NỮ HOÀNG HALLOWEEN] Cảnh 044 – The Magical Reveal [KHÔNG THOẠI]
Ánh sáng sân khấu dịu xuống. Đèn blacklight chiếu lên Ella. Những họa tiết mặt trăng và ngôi sao trên đôi cánh phát sáng. Ella giơ hai tay, xoay nhẹ tại chỗ, tạo nên hình ảnh một con bướm đêm rực rỡ giữa đêm Halloween. Khán giả vỗ tay. Ivy cũng mỉm cười thật lòng.</t>
  </si>
  <si>
    <t xml:space="preserve">045</t>
  </si>
  <si>
    <t xml:space="preserve">[Hồi 4 – LỜI THÚ NHẬN VÀ NỮ HOÀNG HALLOWEEN] Cảnh 045 – The Big Announcement
Ms. Rose bước ra sân khấu, mang chiếc hộp vương miện. Bà chuẩn bị công bố Nữ hoàng Halloween.</t>
  </si>
  <si>
    <t xml:space="preserve">Ms. Rose: It's time to announce our Halloween Queen!</t>
  </si>
  <si>
    <t xml:space="preserve">046</t>
  </si>
  <si>
    <t xml:space="preserve">[Hồi 4 – LỜI THÚ NHẬN VÀ NỮ HOÀNG HALLOWEEN] Cảnh 046 – Ivy Stops the Ceremony [KỊCH TÍNH]
Trước khi Ms. Rose công bố kết quả, Ivy bước lên, giơ tay xin được nói. Sau thoại: Cả hội trường im lặng.</t>
  </si>
  <si>
    <t xml:space="preserve">Ivy: Wait! Before the winner, I need to tell everyone something!</t>
  </si>
  <si>
    <t xml:space="preserve">047</t>
  </si>
  <si>
    <t xml:space="preserve">[Hồi 4 – LỜI THÚ NHẬN VÀ NỮ HOÀNG HALLOWEEN] Cảnh 047 – Ivy Tells the Truth
Ivy nhìn về phía Ella. Cô hít một hơi sâu và tự mình thú nhận. Sau thoại: Nước mắt Ivy bắt đầu rơi. Cô nhìn xuống chiếc nơ bạc Ella đã giúp buộc trên mũ mình.</t>
  </si>
  <si>
    <t xml:space="preserve">Ivy: I was jealous, so I stepped on Ella's cape on purpose.</t>
  </si>
  <si>
    <t xml:space="preserve">048</t>
  </si>
  <si>
    <t xml:space="preserve">[Hồi 4 – LỜI THÚ NHẬN VÀ NỮ HOÀNG HALLOWEEN] Cảnh 048 – The Teacher Responds
Ms. Rose bước đến gần Ivy. Bà nghiêm túc nhưng không làm cô bé xấu hổ thêm.</t>
  </si>
  <si>
    <t xml:space="preserve">Ms. Rose: That was wrong, Ivy. Thank you for telling the truth.</t>
  </si>
  <si>
    <t xml:space="preserve">049a</t>
  </si>
  <si>
    <t xml:space="preserve">[Hồi 4 – LỜI THÚ NHẬN VÀ NỮ HOÀNG HALLOWEEN] Cảnh 049 – Ella Forgives Ivy
Ivy quay sang Ella, chân thành xin lỗi. (Phần 1/2: máy quay tập trung vào Ivy.)</t>
  </si>
  <si>
    <t xml:space="preserve">Ivy: I'm really sorry, Ella. I promise I won't do that again.</t>
  </si>
  <si>
    <t xml:space="preserve">049b</t>
  </si>
  <si>
    <t xml:space="preserve">[Hồi 4 – LỜI THÚ NHẬN VÀ NỮ HOÀNG HALLOWEEN] Cảnh 049 – Ella Forgives Ivy
Ivy quay sang Ella, chân thành xin lỗi. (Phần 2/2: máy quay tập trung vào Ella.) Ngay trước câu thoại: Ella im lặng một chút rồi mỉm cười nhẹ, đưa tay ra. Sau thoại: Hai cô bé nắm tay nhau. Ivy xúc động và mỉm cười qua nước mắt.</t>
  </si>
  <si>
    <t xml:space="preserve">Ella: You hurt me, Ivy. But I forgive you.</t>
  </si>
  <si>
    <t xml:space="preserve">050</t>
  </si>
  <si>
    <t xml:space="preserve">[Hồi 4 – LỜI THÚ NHẬN VÀ NỮ HOÀNG HALLOWEEN] Cảnh 050 – The Halloween Queen
Sau khi cả hai trở về vị trí, Ms. Rose tiếp tục công bố giải thưởng dành cho thiết kế trang phục sáng tạo nhất. Sau thoại: Khán giả vỗ tay lớn. Ella ngạc nhiên, hai tay đưa lên miệng.</t>
  </si>
  <si>
    <t xml:space="preserve">Ms. Rose: Our Halloween Queen is... Ella!</t>
  </si>
  <si>
    <t xml:space="preserve">051</t>
  </si>
  <si>
    <t xml:space="preserve">[Hồi 4 – LỜI THÚ NHẬN VÀ NỮ HOÀNG HALLOWEEN] Cảnh 051 – The Crown Ceremony
Ms. Rose nhẹ nhàng đặt chiếc vương miện bạc đính mặt trăng tím lên đầu Ella. Ella đứng giữa sân khấu, đội vương miện và mở rộng đôi cánh phát sáng. Oliver nhảy lên vui sướng bên dưới.</t>
  </si>
  <si>
    <t xml:space="preserve">Oliver: Yay! My sister is the Halloween Queen!</t>
  </si>
  <si>
    <t xml:space="preserve">052</t>
  </si>
  <si>
    <t xml:space="preserve">[Hồi 4 – LỜI THÚ NHẬN VÀ NỮ HOÀNG HALLOWEEN] Cảnh 052 – Ivy Cheers for Ella
Ivy đứng ở hàng đầu, là người vỗ tay rất nhiệt tình. Cô không còn cảm thấy ghen tị. Sau thoại: Ella nhìn Ivy và mỉm cười.</t>
  </si>
  <si>
    <t xml:space="preserve">Ivy: You deserve it, Ella! Your wings are amazing!</t>
  </si>
  <si>
    <t xml:space="preserve">053a</t>
  </si>
  <si>
    <t xml:space="preserve">[Hồi 4 – LỜI THÚ NHẬN VÀ NỮ HOÀNG HALLOWEEN] Cảnh 053 – A New Friendship
Sau lễ trao giải, Ivy đến gặp Ella. (Phần 1/2: máy quay tập trung vào Ivy.)</t>
  </si>
  <si>
    <t xml:space="preserve">Ivy: Can we start again? I really want to be your friend.</t>
  </si>
  <si>
    <t xml:space="preserve">053b</t>
  </si>
  <si>
    <t xml:space="preserve">[Hồi 4 – LỜI THÚ NHẬN VÀ NỮ HOÀNG HALLOWEEN] Cảnh 053 – A New Friendship
Sau lễ trao giải, Ivy đến gặp Ella. (Phần 2/2: máy quay tập trung vào Ella.) Sau thoại: Hai cô bé ôm nhau.</t>
  </si>
  <si>
    <t xml:space="preserve">Ella: Yes, Ivy. Let's be good friends!</t>
  </si>
  <si>
    <t xml:space="preserve">054a</t>
  </si>
  <si>
    <t xml:space="preserve">[Hồi 4 – LỜI THÚ NHẬN VÀ NỮ HOÀNG HALLOWEEN] Cảnh 054 – Making Things Right
Ivy chủ động nhặt những mảnh vải bạc còn hỏng của chiếc áo choàng cũ, đề nghị cùng Ella sửa lại chúng để sử dụng sau đêm hội. (Phần 1/2: máy quay tập trung vào Ivy.)</t>
  </si>
  <si>
    <t xml:space="preserve">Ivy: I broke your cape. Can I help you repair it?</t>
  </si>
  <si>
    <t xml:space="preserve">054b</t>
  </si>
  <si>
    <t xml:space="preserve">[Hồi 4 – LỜI THÚ NHẬN VÀ NỮ HOÀNG HALLOWEEN] Cảnh 054 – Making Things Right
Ivy chủ động nhặt những mảnh vải bạc còn hỏng của chiếc áo choàng cũ, đề nghị cùng Ella sửa lại chúng để sử dụng sau đêm hội. (Phần 2/2: máy quay tập trung vào Ella.)</t>
  </si>
  <si>
    <t xml:space="preserve">Ella: Yes! We can make something beautiful together!</t>
  </si>
  <si>
    <t xml:space="preserve">055</t>
  </si>
  <si>
    <t xml:space="preserve">[Hồi 4 – LỜI THÚ NHẬN VÀ NỮ HOÀNG HALLOWEEN] Cảnh 055 – The Halloween Friendship Photo [HÀI HƯỚC]
Dad cầm máy ảnh. Ella đội vương miện đứng cạnh Ivy. Ivy đội mũ phù thủy có nơ bạc. Oliver bất ngờ chen vào giữa hai người với bộ đồ bí ngô khổng lồ. Sau thoại: Mọi người cùng bật cười. Dad chụp bức ảnh kỷ niệm.</t>
  </si>
  <si>
    <t xml:space="preserve">Oliver: Wait! Don't forget the Pumpkin King!</t>
  </si>
  <si>
    <t xml:space="preserve">056a</t>
  </si>
  <si>
    <t xml:space="preserve">[Hồi 4 – LỜI THÚ NHẬN VÀ NỮ HOÀNG HALLOWEEN] Cảnh 056 – The Halloween Lesson
Mom nhìn hai cô bé đang vui vẻ trò chuyện. Phía sau là ánh đèn bí ngô và những họa tiết mặt trăng. (Phần 1/3: máy quay tập trung vào Mom.)</t>
  </si>
  <si>
    <t xml:space="preserve">Mom: Remember: Be kind. Tell the truth. Help each other.</t>
  </si>
  <si>
    <t xml:space="preserve">056b</t>
  </si>
  <si>
    <t xml:space="preserve">[Hồi 4 – LỜI THÚ NHẬN VÀ NỮ HOÀNG HALLOWEEN] Cảnh 056 – The Halloween Lesson
Mom nhìn hai cô bé đang vui vẻ trò chuyện. Phía sau là ánh đèn bí ngô và những họa tiết mặt trăng. (Phần 2/3: máy quay tập trung vào Ella.) Ngay trước câu thoại: Ella và Ivy nắm tay nhau, cùng bước ra sàn nhảy. Ella vẫn đội vương miện, đôi cánh bạc tỏa sáng bên chiếc mũ phù thủy tím của Ivy.</t>
  </si>
  <si>
    <t xml:space="preserve">Ella: Happy Halloween, Ivy!</t>
  </si>
  <si>
    <t xml:space="preserve">056c</t>
  </si>
  <si>
    <t xml:space="preserve">[Hồi 4 – LỜI THÚ NHẬN VÀ NỮ HOÀNG HALLOWEEN] Cảnh 056 – The Halloween Lesson
Mom nhìn hai cô bé đang vui vẻ trò chuyện. Phía sau là ánh đèn bí ngô và những họa tiết mặt trăng. (Phần 3/3: máy quay tập trung vào Ivy.) Sau thoại: Máy quay lùi dần. Cả hai cùng nhảy múa dưới những dải đèn Halloween.</t>
  </si>
  <si>
    <t xml:space="preserve">Ivy: Happy Halloween, my friend!</t>
  </si>
  <si>
    <t xml:space="preserve">Hồi</t>
  </si>
  <si>
    <t xml:space="preserve">Cảnh gốc</t>
  </si>
  <si>
    <t xml:space="preserve">Tiêu đề</t>
  </si>
  <si>
    <t xml:space="preserve">Tag</t>
  </si>
  <si>
    <t xml:space="preserve">Người nói</t>
  </si>
  <si>
    <t xml:space="preserve">Số từ</t>
  </si>
  <si>
    <t xml:space="preserve">Thời lượng ước tính (giây)</t>
  </si>
  <si>
    <t xml:space="preserve">Ghi chú</t>
  </si>
  <si>
    <t xml:space="preserve">The Halloween Crown</t>
  </si>
  <si>
    <t xml:space="preserve">HOOK</t>
  </si>
  <si>
    <t xml:space="preserve">Ms. Rose</t>
  </si>
  <si>
    <t xml:space="preserve">[HOOK] cảnh mở màn gây tò mò: vẫn tạo video như cảnh thường, máy quay và ánh sáng ấn tượng hơn. Bối cảnh LOC_HALL_DAY (hội trường ban ngày).</t>
  </si>
  <si>
    <t xml:space="preserve">Ivy's Dream</t>
  </si>
  <si>
    <t xml:space="preserve">Ivy</t>
  </si>
  <si>
    <t xml:space="preserve">Xem ghi chú 001.</t>
  </si>
  <si>
    <t xml:space="preserve">Everyone Notices Ella</t>
  </si>
  <si>
    <t xml:space="preserve">"Vài bạn học" là nhân vật phụ không có ảnh tham chiếu, để ở hậu cảnh.</t>
  </si>
  <si>
    <t xml:space="preserve">The Forgotten Witch</t>
  </si>
  <si>
    <t xml:space="preserve">Ivy's Hidden Sadness</t>
  </si>
  <si>
    <t xml:space="preserve">KHÔNG THOẠI</t>
  </si>
  <si>
    <t xml:space="preserve">Ella Tries to Be Friendly</t>
  </si>
  <si>
    <t xml:space="preserve">Ella</t>
  </si>
  <si>
    <t xml:space="preserve">Cảnh 006 có 2 người nói, ước tính 11.9 giây &gt; 10 → tách theo người nói.</t>
  </si>
  <si>
    <t xml:space="preserve">Halloween Shopping</t>
  </si>
  <si>
    <t xml:space="preserve">Oliver</t>
  </si>
  <si>
    <t xml:space="preserve">Cảnh có 4 nhân vật (Ella, Oliver, Dad, Mom): chỉ gắn ảnh cho người nói + tối đa 2 người ở tiền cảnh.</t>
  </si>
  <si>
    <t xml:space="preserve">The Wrong Dresses</t>
  </si>
  <si>
    <t xml:space="preserve">The Blue Dress</t>
  </si>
  <si>
    <t xml:space="preserve">Dad</t>
  </si>
  <si>
    <t xml:space="preserve">The Silver Cape</t>
  </si>
  <si>
    <t xml:space="preserve">Mom</t>
  </si>
  <si>
    <t xml:space="preserve">Ella's Perfect Costume</t>
  </si>
  <si>
    <t xml:space="preserve">A Little Magic</t>
  </si>
  <si>
    <t xml:space="preserve">Cảnh có 4 nhân vật (Ella, Oliver, Mom, Dad): chỉ gắn ảnh cho người nói + tối đa 2 người ở tiền cảnh.</t>
  </si>
  <si>
    <t xml:space="preserve">The Halloween Ball</t>
  </si>
  <si>
    <t xml:space="preserve">Từ đây hội trường là đêm hội (LOC_HALL_NIGHT, đèn vàng cam), khác ban ngày ở 001–006 (đèn tím). Cần 2 ảnh bối cảnh riêng.</t>
  </si>
  <si>
    <t xml:space="preserve">The Moon Fairy Arrives</t>
  </si>
  <si>
    <t xml:space="preserve">Ivy's Beautiful Witch Hat</t>
  </si>
  <si>
    <t xml:space="preserve">Another Painful Moment</t>
  </si>
  <si>
    <t xml:space="preserve">Ella Gives a Compliment</t>
  </si>
  <si>
    <t xml:space="preserve">Cảnh 017 có 2 người nói, ước tính 12.4 giây &gt; 10 → tách theo người nói.</t>
  </si>
  <si>
    <t xml:space="preserve">One More Photo</t>
  </si>
  <si>
    <t xml:space="preserve">Ivy Makes a Bad Choice</t>
  </si>
  <si>
    <t xml:space="preserve">KỊCH TÍNH</t>
  </si>
  <si>
    <t xml:space="preserve">The Dress Tears</t>
  </si>
  <si>
    <t xml:space="preserve">Ella Sees the Truth</t>
  </si>
  <si>
    <t xml:space="preserve">Cảnh 021 có 2 người nói, ước tính 10.6 giây &gt; 10 → tách theo người nói.</t>
  </si>
  <si>
    <t xml:space="preserve">A Broken Dream</t>
  </si>
  <si>
    <t xml:space="preserve">Mom's Comfort</t>
  </si>
  <si>
    <t xml:space="preserve">Ella Wants to Go Home</t>
  </si>
  <si>
    <t xml:space="preserve">Dad Understands</t>
  </si>
  <si>
    <t xml:space="preserve">Oliver's Pumpkin Wings</t>
  </si>
  <si>
    <t xml:space="preserve">HÀI HƯỚC</t>
  </si>
  <si>
    <t xml:space="preserve">Mom Discovers Something</t>
  </si>
  <si>
    <t xml:space="preserve">The Moon Moth</t>
  </si>
  <si>
    <t xml:space="preserve">Making New Wings</t>
  </si>
  <si>
    <t xml:space="preserve">Oliver's Special Stars</t>
  </si>
  <si>
    <t xml:space="preserve">The Glowing Wings</t>
  </si>
  <si>
    <t xml:space="preserve">Ella's New Confidence</t>
  </si>
  <si>
    <t xml:space="preserve">The Last Silver Ribbon</t>
  </si>
  <si>
    <t xml:space="preserve">Trouble for Ivy</t>
  </si>
  <si>
    <t xml:space="preserve">Ivy's Worst Moment</t>
  </si>
  <si>
    <t xml:space="preserve">CẦN SỬA: "Giọng Ms. Rose vang lên… thông báo" nhưng không có lời thoại → model sẽ bịa lời hoặc ra tiếng không rõ. Thêm 1 dòng, vd: Ms. Rose (ngoài khung hình): Ivy, you are next! — hoặc đổi thành "tiếng loa thông báo vọng lại, không rõ lời".</t>
  </si>
  <si>
    <t xml:space="preserve">Oliver Remembers</t>
  </si>
  <si>
    <t xml:space="preserve">A Difficult Decision</t>
  </si>
  <si>
    <t xml:space="preserve">Hồi tưởng ("Ella nhớ cảm giác…"): diễn bằng biểu cảm. Khi dựng có thể chèn 1–2 giây clip 022.</t>
  </si>
  <si>
    <t xml:space="preserve">Ella Offers Help</t>
  </si>
  <si>
    <t xml:space="preserve">Cảnh 038 có 2 người nói, ước tính 13.6 giây &gt; 10 → tách theo người nói.</t>
  </si>
  <si>
    <t xml:space="preserve">Ella's Unexpected Answer</t>
  </si>
  <si>
    <t xml:space="preserve">The Silver Ribbon Saves the Hat</t>
  </si>
  <si>
    <t xml:space="preserve">Cảnh 040 có 2 người nói, ước tính 13.2 giây &gt; 10 → tách theo người nói.</t>
  </si>
  <si>
    <t xml:space="preserve">Ivy's Silent Regret</t>
  </si>
  <si>
    <t xml:space="preserve">Hồi tưởng ("nhớ lại cảnh mình giẫm rách áo choàng"): diễn bằng biểu cảm. Khi dựng chèn 1–2 giây clip 019–020.</t>
  </si>
  <si>
    <t xml:space="preserve">The Purple Witch</t>
  </si>
  <si>
    <t xml:space="preserve">Ella's New Costume</t>
  </si>
  <si>
    <t xml:space="preserve">The Magical Reveal</t>
  </si>
  <si>
    <t xml:space="preserve">Không thoại, mô tả dài (đèn dịu, cánh phát sáng, xoay người, khán giả vỗ tay). Nên tăng lên 8 giây.</t>
  </si>
  <si>
    <t xml:space="preserve">The Big Announcement</t>
  </si>
  <si>
    <t xml:space="preserve">Ivy Stops the Ceremony</t>
  </si>
  <si>
    <t xml:space="preserve">Ivy Tells the Truth</t>
  </si>
  <si>
    <t xml:space="preserve">The Teacher Responds</t>
  </si>
  <si>
    <t xml:space="preserve">Ella Forgives Ivy</t>
  </si>
  <si>
    <t xml:space="preserve">Cảnh 049 có 2 người nói, ước tính 14.2 giây &gt; 10 → tách theo người nói.</t>
  </si>
  <si>
    <t xml:space="preserve">The Halloween Queen</t>
  </si>
  <si>
    <t xml:space="preserve">CẦN SỬA MÔ TẢ: mô tả nói "giải thưởng thiết kế trang phục sáng tạo nhất" nhưng thoại là "Our Halloween Queen is... Ella!". Gợi ý sửa mô tả thành "tiếp tục công bố Nữ hoàng Halloween". Không sửa thoại.</t>
  </si>
  <si>
    <t xml:space="preserve">The Crown Ceremony</t>
  </si>
  <si>
    <t xml:space="preserve">Ivy Cheers for Ella</t>
  </si>
  <si>
    <t xml:space="preserve">A New Friendship</t>
  </si>
  <si>
    <t xml:space="preserve">Cảnh 053 có 2 người nói, ước tính 13.0 giây &gt; 10 → tách theo người nói.</t>
  </si>
  <si>
    <t xml:space="preserve">Making Things Right</t>
  </si>
  <si>
    <t xml:space="preserve">Cảnh 054 có 2 người nói, ước tính 13.0 giây &gt; 10 → tách theo người nói.</t>
  </si>
  <si>
    <t xml:space="preserve">The Halloween Friendship Photo</t>
  </si>
  <si>
    <t xml:space="preserve">Cảnh có 4 nhân vật (Dad, Ella, Ivy, Oliver): chỉ gắn ảnh cho người nói + tối đa 2 người ở tiền cảnh.</t>
  </si>
  <si>
    <t xml:space="preserve">The Halloween Lesson</t>
  </si>
  <si>
    <t xml:space="preserve">Cảnh 056 có 3 người nói, ước tính 12.9 giây &gt; 10 → tách theo người nói.</t>
  </si>
  <si>
    <t xml:space="preserve">Ước tính &lt; 4 giây, tool dùng tối thiểu 4 giây.</t>
  </si>
  <si>
    <t xml:space="preserve">Mốc</t>
  </si>
  <si>
    <t xml:space="preserve">Nội dung</t>
  </si>
  <si>
    <t xml:space="preserve">Mục tiêu (giây)</t>
  </si>
  <si>
    <t xml:space="preserve">Ước tính (giây)</t>
  </si>
  <si>
    <t xml:space="preserve">Chênh lệch (giây)</t>
  </si>
  <si>
    <t xml:space="preserve">HAI CÔ BÉ, MỘT CHIẾC VƯƠNG MIỆN</t>
  </si>
  <si>
    <t xml:space="preserve">00:00–01:36</t>
  </si>
  <si>
    <t xml:space="preserve">Ivy ghen tị, Ella chọn váy Halloween</t>
  </si>
  <si>
    <t xml:space="preserve">SỰ GHEN TỊ VÀ CHIẾC VÁY BỊ RÁCH</t>
  </si>
  <si>
    <t xml:space="preserve">01:36–03:04</t>
  </si>
  <si>
    <t xml:space="preserve">Ivy cố tình phá váy và Ella phát hiện sự thật</t>
  </si>
  <si>
    <t xml:space="preserve">ĐÔI CÁNH MỚI VÀ MỘT LỰA CHỌN KHÓ KHĂN</t>
  </si>
  <si>
    <t xml:space="preserve">03:04–05:20</t>
  </si>
  <si>
    <t xml:space="preserve">Sửa váy, Ella giúp Ivy dù biết sự thật</t>
  </si>
  <si>
    <t xml:space="preserve">LỜI THÚ NHẬN VÀ NỮ HOÀNG HALLOWEEN</t>
  </si>
  <si>
    <t xml:space="preserve">05:20–07:28</t>
  </si>
  <si>
    <t xml:space="preserve">Ivy tự thú nhận, Ella tha thứ và nhận vương miện</t>
  </si>
  <si>
    <t xml:space="preserve">TỔNG</t>
  </si>
  <si>
    <t xml:space="preserve">Chênh lệch âm = video ngắn hơn mục tiêu. Có thể thêm cảnh phản ứng / cảnh mở bối cảnh không thoại, hoặc tăng thời lượng clip.</t>
  </si>
  <si>
    <t xml:space="preserve">Tên</t>
  </si>
  <si>
    <t xml:space="preserve">Tag trong prompt</t>
  </si>
  <si>
    <t xml:space="preserve">Mô tả (từ kịch bản)</t>
  </si>
  <si>
    <t xml:space="preserve">Trang phục theo đoạn (gợi ý)</t>
  </si>
  <si>
    <t xml:space="preserve">Ảnh nên tải lên</t>
  </si>
  <si>
    <t xml:space="preserve">@Ella</t>
  </si>
  <si>
    <t xml:space="preserve">Cô bé yêu thích thời trang, sáng tạo, giàu cảm xúc và tốt bụng.</t>
  </si>
  <si>
    <t xml:space="preserve">A – đồ đi học, cầm bản vẽ Nàng Tiên Ánh Trăng: 003–006.
B – đồ thường ngày: 007–012 (008 đang thử váy đỏ / váy tím; 009 cầm váy xanh đậm).
C "Moon Fairy" – váy xanh đậm có sao bạc nhỏ + sao dạ quang + áo choàng bạc dài, mỏng: 011 (chưa có sao dạ quang), 014–019.
D – áo choàng bạc rách toạc từ phía dưới, cầm mảnh voan rách: 020–028.
E – đang kẹp hai mảnh voan vào tay áo thành cánh: 029–031.
F "Moon Moth" hoàn chỉnh – váy xanh + đôi cánh voan bạc gắn tay áo, họa tiết sao/mặt trăng dạ quang: 032–056 (đội vương miện từ 051).</t>
  </si>
  <si>
    <t xml:space="preserve">Ảnh nhận diện (chính diện, 3/4, toàn thân). Nên có ảnh trang phục C (Moon Fairy) và F (Moon Moth).</t>
  </si>
  <si>
    <t xml:space="preserve">@Oliver</t>
  </si>
  <si>
    <t xml:space="preserve">Em trai Ella, vui tính, tinh nghịch và luôn yêu thương chị gái.</t>
  </si>
  <si>
    <t xml:space="preserve">A – đồ thường ngày: 007, 012.
B – bộ đồ bí ngô khổng lồ: 013–056.</t>
  </si>
  <si>
    <t xml:space="preserve">Ảnh nhận diện + ảnh bộ đồ bí ngô.</t>
  </si>
  <si>
    <t xml:space="preserve">@Mom</t>
  </si>
  <si>
    <t xml:space="preserve">Người mẹ dịu dàng, khéo tay, luôn động viên và giúp đỡ các con.</t>
  </si>
  <si>
    <t xml:space="preserve">A – thường ngày: 007–012.
B – trang phục dự hội Halloween: 013–056.</t>
  </si>
  <si>
    <t xml:space="preserve">Ảnh nhận diện.</t>
  </si>
  <si>
    <t xml:space="preserve">@Dad</t>
  </si>
  <si>
    <t xml:space="preserve">Người bố vui vẻ, yêu thương gia đình và biết cách tạo ra những hiệu ứng ánh sáng thú vị.</t>
  </si>
  <si>
    <t xml:space="preserve">A – thường ngày: 007–012.
B – trang phục dự hội Halloween: 013–056 (cầm máy ảnh 018, 055).</t>
  </si>
  <si>
    <t xml:space="preserve">@Ivy</t>
  </si>
  <si>
    <t xml:space="preserve">Bạn cùng trường của Ella, khéo tay nhưng dễ ghen tị vì luôn muốn được mọi người chú ý.</t>
  </si>
  <si>
    <t xml:space="preserve">A – đồ đi học + mũ phù thủy tím tự làm, sao khâu tay: 002–006.
B – váy phù thủy tím đen + mũ tự làm: 015–033.
C – như B, dây giữ mũ bị bung, mũ nghiêng: 034–039.
D – như B, mũ có thêm nơ voan bạc: 040–056.</t>
  </si>
  <si>
    <t xml:space="preserve">Ảnh nhận diện + ảnh váy phù thủy + ảnh mũ (nên tạo cả bản có nơ bạc).</t>
  </si>
  <si>
    <t xml:space="preserve">@MsRose</t>
  </si>
  <si>
    <t xml:space="preserve">Giáo viên tổ chức đêm hội Halloween và cuộc thi Nữ hoàng Halloween.</t>
  </si>
  <si>
    <t xml:space="preserve">A – đồ đi dạy: 001–003.
B – trang phục dự hội: 045–051.</t>
  </si>
  <si>
    <t xml:space="preserve">Đạo cụ</t>
  </si>
  <si>
    <t xml:space="preserve">Vương miện bạc đính mặt trăng tím + hộp nhung (001, 045, 050–056); bản vẽ Nàng Tiên Ánh Trăng (003–004); mũ phù thủy của Ivy (002–056); dải voan bạc (033, 040); máy ảnh của Dad (018, 055). Nên có ảnh tham chiếu riêng.</t>
  </si>
  <si>
    <t xml:space="preserve">Mã</t>
  </si>
  <si>
    <t xml:space="preserve">Bối cảnh (gợi ý)</t>
  </si>
  <si>
    <t xml:space="preserve">LOC_HALL_DAY</t>
  </si>
  <si>
    <t xml:space="preserve">Hội trường trường học ban ngày: bí ngô, dơi giấy, dải đèn tím, sân khấu nhỏ.</t>
  </si>
  <si>
    <t xml:space="preserve">001–006</t>
  </si>
  <si>
    <t xml:space="preserve">LOC_SHOP</t>
  </si>
  <si>
    <t xml:space="preserve">Cửa hàng trang phục Halloween: giá váy nhiều màu, đồ hóa trang, gương lớn.</t>
  </si>
  <si>
    <t xml:space="preserve">007–011</t>
  </si>
  <si>
    <t xml:space="preserve">LOC_HOME</t>
  </si>
  <si>
    <t xml:space="preserve">Nhà Ella buổi tối: bàn trang trí, đèn blacklight cầm tay.</t>
  </si>
  <si>
    <t xml:space="preserve">LOC_HALL_NIGHT</t>
  </si>
  <si>
    <t xml:space="preserve">Hội trường đêm hội: lâu đài ma, bí ngô, đèn vàng cam, khu chụp ảnh trước sân khấu, sàn nhảy.</t>
  </si>
  <si>
    <t xml:space="preserve">013–023, 052–056</t>
  </si>
  <si>
    <t xml:space="preserve">LOC_BACKSTAGE</t>
  </si>
  <si>
    <t xml:space="preserve">Phòng chuẩn bị phía sau sân khấu: gương, bàn lớn, tranh bướm đêm Halloween, túi đồ trang trí.</t>
  </si>
  <si>
    <t xml:space="preserve">024–041</t>
  </si>
  <si>
    <t xml:space="preserve">LOC_STAGE</t>
  </si>
  <si>
    <t xml:space="preserve">Sân khấu chính, đèn blacklight, khán giả phía dưới.</t>
  </si>
  <si>
    <t xml:space="preserve">042–051</t>
  </si>
  <si>
    <t xml:space="preserve">Từ</t>
  </si>
  <si>
    <t xml:space="preserve">Nghĩa</t>
  </si>
  <si>
    <t xml:space="preserve">Costume</t>
  </si>
  <si>
    <t xml:space="preserve">Trang phục hóa trang.</t>
  </si>
  <si>
    <t xml:space="preserve">Crown</t>
  </si>
  <si>
    <t xml:space="preserve">Vương miện.</t>
  </si>
  <si>
    <t xml:space="preserve">Jealous</t>
  </si>
  <si>
    <t xml:space="preserve">Ghen tị.</t>
  </si>
  <si>
    <t xml:space="preserve">Cape</t>
  </si>
  <si>
    <t xml:space="preserve">Áo choàng.</t>
  </si>
  <si>
    <t xml:space="preserve">Ribbon</t>
  </si>
  <si>
    <t xml:space="preserve">Dải ruy băng.</t>
  </si>
  <si>
    <t xml:space="preserve">Creative</t>
  </si>
  <si>
    <t xml:space="preserve">Sáng tạo.</t>
  </si>
  <si>
    <t xml:space="preserve">Kindness</t>
  </si>
  <si>
    <t xml:space="preserve">Lòng tốt.</t>
  </si>
  <si>
    <t xml:space="preserve">Forgive</t>
  </si>
  <si>
    <t xml:space="preserve">Tha thứ.</t>
  </si>
  <si>
    <t xml:space="preserve">Friendship</t>
  </si>
  <si>
    <t xml:space="preserve">Tình bạn.</t>
  </si>
  <si>
    <t xml:space="preserve">Bài học</t>
  </si>
  <si>
    <t xml:space="preserve">Be kind, tell the truth, and help each other. When someone makes a mistake, they should say sorry and try to make things right. Kindness and forgiveness can build a beautiful friendship.</t>
  </si>
  <si>
    <t xml:space="preserve">Từ vựng và bài học dùng làm thẻ chữ khi dựng / mô tả YouTube. Tool KHÔNG tự đặt thành lời thoại.</t>
  </si>
  <si>
    <t xml:space="preserve">HƯỚNG DẪN</t>
  </si>
  <si>
    <t xml:space="preserve">ELLA AND THE HALLOWEEN MOON MOTH – The Halloween Ball – A Family Story</t>
  </si>
  <si>
    <t xml:space="preserve">Sheet "Kich ban" (STT | Cảnh | Thoại) là sheet nạp vào tool. STT là chữ dạng 001, 049a… để sắp xếp đúng.</t>
  </si>
  <si>
    <t xml:space="preserve">Đã kiểm tra bằng code: 61/61 câu thoại trong kịch bản có mặt NGUYÊN VĂN, đúng thứ tự.</t>
  </si>
  <si>
    <t xml:space="preserve">Sheet "Chi tiet": dòng tô vàng có ghi chú cần xem (cảnh tách đôi, cảnh 4 nhân vật, logic liên tục).</t>
  </si>
  <si>
    <t xml:space="preserve">Chữ xanh = giá trị nhập (ước tính); chữ đen = công thức. Sheet "Hoi" so thời lượng ước tính với mốc trong kịch bản.</t>
  </si>
  <si>
    <t xml:space="preserve">Sheet "Nhan vat" và "Boi canh" là gợi ý để chuẩn bị ảnh tham chiếu trước khi chạy tool.</t>
  </si>
</sst>
</file>

<file path=xl/styles.xml><?xml version="1.0" encoding="utf-8"?>
<styleSheet xmlns="http://schemas.openxmlformats.org/spreadsheetml/2006/main">
  <numFmts count="3">
    <numFmt numFmtId="164" formatCode="General"/>
    <numFmt numFmtId="165" formatCode="@"/>
    <numFmt numFmtId="166" formatCode="0.0;\-0.0;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name val="Arial"/>
      <family val="2"/>
    </font>
    <font>
      <b val="true"/>
      <sz val="10"/>
      <name val="Arial"/>
      <family val="0"/>
      <charset val="1"/>
    </font>
    <font>
      <i val="true"/>
      <sz val="10"/>
      <name val="Arial"/>
      <family val="0"/>
      <charset val="1"/>
    </font>
    <font>
      <b val="true"/>
      <sz val="12"/>
      <name val="Arial"/>
      <family val="0"/>
      <charset val="1"/>
    </font>
  </fonts>
  <fills count="4">
    <fill>
      <patternFill patternType="none"/>
    </fill>
    <fill>
      <patternFill patternType="gray125"/>
    </fill>
    <fill>
      <patternFill patternType="solid">
        <fgColor rgb="FF2E7D32"/>
        <bgColor rgb="FF008000"/>
      </patternFill>
    </fill>
    <fill>
      <patternFill patternType="solid">
        <fgColor rgb="FFFFF59D"/>
        <bgColor rgb="FFFFFFCC"/>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59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0"/>
    <col collapsed="false" customWidth="true" hidden="false" outlineLevel="0" max="3" min="3" style="0" width="55"/>
  </cols>
  <sheetData>
    <row r="1" customFormat="false" ht="15" hidden="false" customHeight="false" outlineLevel="0" collapsed="false">
      <c r="A1" s="1" t="s">
        <v>0</v>
      </c>
      <c r="B1" s="1" t="s">
        <v>1</v>
      </c>
      <c r="C1" s="1" t="s">
        <v>2</v>
      </c>
    </row>
    <row r="2" customFormat="false" ht="35.05" hidden="false" customHeight="false" outlineLevel="0" collapsed="false">
      <c r="A2" s="2" t="s">
        <v>3</v>
      </c>
      <c r="B2" s="3" t="s">
        <v>4</v>
      </c>
      <c r="C2" s="3" t="s">
        <v>5</v>
      </c>
    </row>
    <row r="3" customFormat="false" ht="35.05" hidden="false" customHeight="false" outlineLevel="0" collapsed="false">
      <c r="A3" s="2" t="s">
        <v>6</v>
      </c>
      <c r="B3" s="3" t="s">
        <v>7</v>
      </c>
      <c r="C3" s="3" t="s">
        <v>8</v>
      </c>
    </row>
    <row r="4" customFormat="false" ht="35.05" hidden="false" customHeight="false" outlineLevel="0" collapsed="false">
      <c r="A4" s="2" t="s">
        <v>9</v>
      </c>
      <c r="B4" s="3" t="s">
        <v>10</v>
      </c>
      <c r="C4" s="3" t="s">
        <v>11</v>
      </c>
    </row>
    <row r="5" customFormat="false" ht="35.05" hidden="false" customHeight="false" outlineLevel="0" collapsed="false">
      <c r="A5" s="2" t="s">
        <v>12</v>
      </c>
      <c r="B5" s="3" t="s">
        <v>13</v>
      </c>
      <c r="C5" s="3" t="s">
        <v>14</v>
      </c>
    </row>
    <row r="6" customFormat="false" ht="46.25" hidden="false" customHeight="false" outlineLevel="0" collapsed="false">
      <c r="A6" s="2" t="s">
        <v>15</v>
      </c>
      <c r="B6" s="3" t="s">
        <v>16</v>
      </c>
      <c r="C6" s="3"/>
    </row>
    <row r="7" customFormat="false" ht="23.85" hidden="false" customHeight="false" outlineLevel="0" collapsed="false">
      <c r="A7" s="2" t="s">
        <v>17</v>
      </c>
      <c r="B7" s="3" t="s">
        <v>18</v>
      </c>
      <c r="C7" s="3" t="s">
        <v>19</v>
      </c>
    </row>
    <row r="8" customFormat="false" ht="35.05" hidden="false" customHeight="false" outlineLevel="0" collapsed="false">
      <c r="A8" s="2" t="s">
        <v>20</v>
      </c>
      <c r="B8" s="3" t="s">
        <v>21</v>
      </c>
      <c r="C8" s="3" t="s">
        <v>22</v>
      </c>
    </row>
    <row r="9" customFormat="false" ht="35.05" hidden="false" customHeight="false" outlineLevel="0" collapsed="false">
      <c r="A9" s="2" t="s">
        <v>23</v>
      </c>
      <c r="B9" s="3" t="s">
        <v>24</v>
      </c>
      <c r="C9" s="3" t="s">
        <v>25</v>
      </c>
    </row>
    <row r="10" customFormat="false" ht="35.05" hidden="false" customHeight="false" outlineLevel="0" collapsed="false">
      <c r="A10" s="2" t="s">
        <v>26</v>
      </c>
      <c r="B10" s="3" t="s">
        <v>27</v>
      </c>
      <c r="C10" s="3" t="s">
        <v>28</v>
      </c>
    </row>
    <row r="11" customFormat="false" ht="23.85" hidden="false" customHeight="false" outlineLevel="0" collapsed="false">
      <c r="A11" s="2" t="s">
        <v>29</v>
      </c>
      <c r="B11" s="3" t="s">
        <v>30</v>
      </c>
      <c r="C11" s="3" t="s">
        <v>31</v>
      </c>
    </row>
    <row r="12" customFormat="false" ht="23.85" hidden="false" customHeight="false" outlineLevel="0" collapsed="false">
      <c r="A12" s="2" t="s">
        <v>32</v>
      </c>
      <c r="B12" s="3" t="s">
        <v>33</v>
      </c>
      <c r="C12" s="3" t="s">
        <v>34</v>
      </c>
    </row>
    <row r="13" customFormat="false" ht="23.85" hidden="false" customHeight="false" outlineLevel="0" collapsed="false">
      <c r="A13" s="2" t="s">
        <v>35</v>
      </c>
      <c r="B13" s="3" t="s">
        <v>36</v>
      </c>
      <c r="C13" s="3" t="s">
        <v>37</v>
      </c>
    </row>
    <row r="14" customFormat="false" ht="35.05" hidden="false" customHeight="false" outlineLevel="0" collapsed="false">
      <c r="A14" s="2" t="s">
        <v>38</v>
      </c>
      <c r="B14" s="3" t="s">
        <v>39</v>
      </c>
      <c r="C14" s="3" t="s">
        <v>40</v>
      </c>
    </row>
    <row r="15" customFormat="false" ht="35.05" hidden="false" customHeight="false" outlineLevel="0" collapsed="false">
      <c r="A15" s="2" t="s">
        <v>41</v>
      </c>
      <c r="B15" s="3" t="s">
        <v>42</v>
      </c>
      <c r="C15" s="3" t="s">
        <v>43</v>
      </c>
    </row>
    <row r="16" customFormat="false" ht="35.05" hidden="false" customHeight="false" outlineLevel="0" collapsed="false">
      <c r="A16" s="2" t="s">
        <v>44</v>
      </c>
      <c r="B16" s="3" t="s">
        <v>45</v>
      </c>
      <c r="C16" s="3" t="s">
        <v>46</v>
      </c>
    </row>
    <row r="17" customFormat="false" ht="35.05" hidden="false" customHeight="false" outlineLevel="0" collapsed="false">
      <c r="A17" s="2" t="s">
        <v>47</v>
      </c>
      <c r="B17" s="3" t="s">
        <v>48</v>
      </c>
      <c r="C17" s="3" t="s">
        <v>49</v>
      </c>
    </row>
    <row r="18" customFormat="false" ht="35.05" hidden="false" customHeight="false" outlineLevel="0" collapsed="false">
      <c r="A18" s="2" t="s">
        <v>50</v>
      </c>
      <c r="B18" s="3" t="s">
        <v>51</v>
      </c>
      <c r="C18" s="3" t="s">
        <v>52</v>
      </c>
    </row>
    <row r="19" customFormat="false" ht="23.85" hidden="false" customHeight="false" outlineLevel="0" collapsed="false">
      <c r="A19" s="2" t="s">
        <v>53</v>
      </c>
      <c r="B19" s="3" t="s">
        <v>54</v>
      </c>
      <c r="C19" s="3" t="s">
        <v>55</v>
      </c>
    </row>
    <row r="20" customFormat="false" ht="35.05" hidden="false" customHeight="false" outlineLevel="0" collapsed="false">
      <c r="A20" s="2" t="s">
        <v>56</v>
      </c>
      <c r="B20" s="3" t="s">
        <v>57</v>
      </c>
      <c r="C20" s="3" t="s">
        <v>58</v>
      </c>
    </row>
    <row r="21" customFormat="false" ht="23.85" hidden="false" customHeight="false" outlineLevel="0" collapsed="false">
      <c r="A21" s="2" t="s">
        <v>59</v>
      </c>
      <c r="B21" s="3" t="s">
        <v>60</v>
      </c>
      <c r="C21" s="3" t="s">
        <v>61</v>
      </c>
    </row>
    <row r="22" customFormat="false" ht="35.05" hidden="false" customHeight="false" outlineLevel="0" collapsed="false">
      <c r="A22" s="2" t="s">
        <v>62</v>
      </c>
      <c r="B22" s="3" t="s">
        <v>63</v>
      </c>
      <c r="C22" s="3" t="s">
        <v>64</v>
      </c>
    </row>
    <row r="23" customFormat="false" ht="35.05" hidden="false" customHeight="false" outlineLevel="0" collapsed="false">
      <c r="A23" s="2" t="s">
        <v>65</v>
      </c>
      <c r="B23" s="3" t="s">
        <v>66</v>
      </c>
      <c r="C23" s="3"/>
    </row>
    <row r="24" customFormat="false" ht="35.05" hidden="false" customHeight="false" outlineLevel="0" collapsed="false">
      <c r="A24" s="2" t="s">
        <v>67</v>
      </c>
      <c r="B24" s="3" t="s">
        <v>68</v>
      </c>
      <c r="C24" s="3" t="s">
        <v>69</v>
      </c>
    </row>
    <row r="25" customFormat="false" ht="35.05" hidden="false" customHeight="false" outlineLevel="0" collapsed="false">
      <c r="A25" s="2" t="s">
        <v>70</v>
      </c>
      <c r="B25" s="3" t="s">
        <v>71</v>
      </c>
      <c r="C25" s="3" t="s">
        <v>72</v>
      </c>
    </row>
    <row r="26" customFormat="false" ht="35.05" hidden="false" customHeight="false" outlineLevel="0" collapsed="false">
      <c r="A26" s="2" t="s">
        <v>73</v>
      </c>
      <c r="B26" s="3" t="s">
        <v>74</v>
      </c>
      <c r="C26" s="3" t="s">
        <v>75</v>
      </c>
    </row>
    <row r="27" customFormat="false" ht="23.85" hidden="false" customHeight="false" outlineLevel="0" collapsed="false">
      <c r="A27" s="2" t="s">
        <v>76</v>
      </c>
      <c r="B27" s="3" t="s">
        <v>77</v>
      </c>
      <c r="C27" s="3" t="s">
        <v>78</v>
      </c>
    </row>
    <row r="28" customFormat="false" ht="23.85" hidden="false" customHeight="false" outlineLevel="0" collapsed="false">
      <c r="A28" s="2" t="s">
        <v>79</v>
      </c>
      <c r="B28" s="3" t="s">
        <v>80</v>
      </c>
      <c r="C28" s="3" t="s">
        <v>81</v>
      </c>
    </row>
    <row r="29" customFormat="false" ht="23.85" hidden="false" customHeight="false" outlineLevel="0" collapsed="false">
      <c r="A29" s="2" t="s">
        <v>82</v>
      </c>
      <c r="B29" s="3" t="s">
        <v>83</v>
      </c>
      <c r="C29" s="3" t="s">
        <v>84</v>
      </c>
    </row>
    <row r="30" customFormat="false" ht="46.25" hidden="false" customHeight="false" outlineLevel="0" collapsed="false">
      <c r="A30" s="2" t="s">
        <v>85</v>
      </c>
      <c r="B30" s="3" t="s">
        <v>86</v>
      </c>
      <c r="C30" s="3" t="s">
        <v>87</v>
      </c>
    </row>
    <row r="31" customFormat="false" ht="46.25" hidden="false" customHeight="false" outlineLevel="0" collapsed="false">
      <c r="A31" s="2" t="s">
        <v>88</v>
      </c>
      <c r="B31" s="3" t="s">
        <v>89</v>
      </c>
      <c r="C31" s="3" t="s">
        <v>90</v>
      </c>
    </row>
    <row r="32" customFormat="false" ht="23.85" hidden="false" customHeight="false" outlineLevel="0" collapsed="false">
      <c r="A32" s="2" t="s">
        <v>91</v>
      </c>
      <c r="B32" s="3" t="s">
        <v>92</v>
      </c>
      <c r="C32" s="3" t="s">
        <v>93</v>
      </c>
    </row>
    <row r="33" customFormat="false" ht="23.85" hidden="false" customHeight="false" outlineLevel="0" collapsed="false">
      <c r="A33" s="2" t="s">
        <v>94</v>
      </c>
      <c r="B33" s="3" t="s">
        <v>95</v>
      </c>
      <c r="C33" s="3" t="s">
        <v>96</v>
      </c>
    </row>
    <row r="34" customFormat="false" ht="23.85" hidden="false" customHeight="false" outlineLevel="0" collapsed="false">
      <c r="A34" s="2" t="s">
        <v>97</v>
      </c>
      <c r="B34" s="3" t="s">
        <v>98</v>
      </c>
      <c r="C34" s="3" t="s">
        <v>99</v>
      </c>
    </row>
    <row r="35" customFormat="false" ht="23.85" hidden="false" customHeight="false" outlineLevel="0" collapsed="false">
      <c r="A35" s="2" t="s">
        <v>100</v>
      </c>
      <c r="B35" s="3" t="s">
        <v>101</v>
      </c>
      <c r="C35" s="3" t="s">
        <v>102</v>
      </c>
    </row>
    <row r="36" customFormat="false" ht="23.85" hidden="false" customHeight="false" outlineLevel="0" collapsed="false">
      <c r="A36" s="2" t="s">
        <v>103</v>
      </c>
      <c r="B36" s="3" t="s">
        <v>104</v>
      </c>
      <c r="C36" s="3" t="s">
        <v>105</v>
      </c>
    </row>
    <row r="37" customFormat="false" ht="23.85" hidden="false" customHeight="false" outlineLevel="0" collapsed="false">
      <c r="A37" s="2" t="s">
        <v>106</v>
      </c>
      <c r="B37" s="3" t="s">
        <v>107</v>
      </c>
      <c r="C37" s="3" t="s">
        <v>108</v>
      </c>
    </row>
    <row r="38" customFormat="false" ht="46.25" hidden="false" customHeight="false" outlineLevel="0" collapsed="false">
      <c r="A38" s="2" t="s">
        <v>109</v>
      </c>
      <c r="B38" s="3" t="s">
        <v>110</v>
      </c>
      <c r="C38" s="3" t="s">
        <v>111</v>
      </c>
    </row>
    <row r="39" customFormat="false" ht="46.25" hidden="false" customHeight="false" outlineLevel="0" collapsed="false">
      <c r="A39" s="2" t="s">
        <v>112</v>
      </c>
      <c r="B39" s="3" t="s">
        <v>113</v>
      </c>
      <c r="C39" s="3" t="s">
        <v>114</v>
      </c>
    </row>
    <row r="40" customFormat="false" ht="23.85" hidden="false" customHeight="false" outlineLevel="0" collapsed="false">
      <c r="A40" s="2" t="s">
        <v>115</v>
      </c>
      <c r="B40" s="3" t="s">
        <v>116</v>
      </c>
      <c r="C40" s="3" t="s">
        <v>117</v>
      </c>
    </row>
    <row r="41" customFormat="false" ht="46.25" hidden="false" customHeight="false" outlineLevel="0" collapsed="false">
      <c r="A41" s="2" t="s">
        <v>118</v>
      </c>
      <c r="B41" s="3" t="s">
        <v>119</v>
      </c>
      <c r="C41" s="3"/>
    </row>
    <row r="42" customFormat="false" ht="23.85" hidden="false" customHeight="false" outlineLevel="0" collapsed="false">
      <c r="A42" s="2" t="s">
        <v>120</v>
      </c>
      <c r="B42" s="3" t="s">
        <v>121</v>
      </c>
      <c r="C42" s="3" t="s">
        <v>122</v>
      </c>
    </row>
    <row r="43" customFormat="false" ht="23.85" hidden="false" customHeight="false" outlineLevel="0" collapsed="false">
      <c r="A43" s="2" t="s">
        <v>123</v>
      </c>
      <c r="B43" s="3" t="s">
        <v>124</v>
      </c>
      <c r="C43" s="3" t="s">
        <v>125</v>
      </c>
    </row>
    <row r="44" customFormat="false" ht="23.85" hidden="false" customHeight="false" outlineLevel="0" collapsed="false">
      <c r="A44" s="2" t="s">
        <v>126</v>
      </c>
      <c r="B44" s="3" t="s">
        <v>127</v>
      </c>
      <c r="C44" s="3" t="s">
        <v>128</v>
      </c>
    </row>
    <row r="45" customFormat="false" ht="46.25" hidden="false" customHeight="false" outlineLevel="0" collapsed="false">
      <c r="A45" s="2" t="s">
        <v>129</v>
      </c>
      <c r="B45" s="3" t="s">
        <v>130</v>
      </c>
      <c r="C45" s="3" t="s">
        <v>131</v>
      </c>
    </row>
    <row r="46" customFormat="false" ht="57.45" hidden="false" customHeight="false" outlineLevel="0" collapsed="false">
      <c r="A46" s="2" t="s">
        <v>132</v>
      </c>
      <c r="B46" s="3" t="s">
        <v>133</v>
      </c>
      <c r="C46" s="3" t="s">
        <v>134</v>
      </c>
    </row>
    <row r="47" customFormat="false" ht="46.25" hidden="false" customHeight="false" outlineLevel="0" collapsed="false">
      <c r="A47" s="2" t="s">
        <v>135</v>
      </c>
      <c r="B47" s="3" t="s">
        <v>136</v>
      </c>
      <c r="C47" s="3"/>
    </row>
    <row r="48" customFormat="false" ht="23.85" hidden="false" customHeight="false" outlineLevel="0" collapsed="false">
      <c r="A48" s="2" t="s">
        <v>137</v>
      </c>
      <c r="B48" s="3" t="s">
        <v>138</v>
      </c>
      <c r="C48" s="3" t="s">
        <v>139</v>
      </c>
    </row>
    <row r="49" customFormat="false" ht="23.85" hidden="false" customHeight="false" outlineLevel="0" collapsed="false">
      <c r="A49" s="2" t="s">
        <v>140</v>
      </c>
      <c r="B49" s="3" t="s">
        <v>141</v>
      </c>
      <c r="C49" s="3" t="s">
        <v>142</v>
      </c>
    </row>
    <row r="50" customFormat="false" ht="57.45" hidden="false" customHeight="false" outlineLevel="0" collapsed="false">
      <c r="A50" s="2" t="s">
        <v>143</v>
      </c>
      <c r="B50" s="3" t="s">
        <v>144</v>
      </c>
      <c r="C50" s="3"/>
    </row>
    <row r="51" customFormat="false" ht="35.05" hidden="false" customHeight="false" outlineLevel="0" collapsed="false">
      <c r="A51" s="2" t="s">
        <v>145</v>
      </c>
      <c r="B51" s="3" t="s">
        <v>146</v>
      </c>
      <c r="C51" s="3" t="s">
        <v>147</v>
      </c>
    </row>
    <row r="52" customFormat="false" ht="46.25" hidden="false" customHeight="false" outlineLevel="0" collapsed="false">
      <c r="A52" s="2" t="s">
        <v>148</v>
      </c>
      <c r="B52" s="3" t="s">
        <v>149</v>
      </c>
      <c r="C52" s="3" t="s">
        <v>150</v>
      </c>
    </row>
    <row r="53" customFormat="false" ht="35.05" hidden="false" customHeight="false" outlineLevel="0" collapsed="false">
      <c r="A53" s="2" t="s">
        <v>151</v>
      </c>
      <c r="B53" s="3" t="s">
        <v>152</v>
      </c>
      <c r="C53" s="3" t="s">
        <v>153</v>
      </c>
    </row>
    <row r="54" customFormat="false" ht="23.85" hidden="false" customHeight="false" outlineLevel="0" collapsed="false">
      <c r="A54" s="2" t="s">
        <v>154</v>
      </c>
      <c r="B54" s="3" t="s">
        <v>155</v>
      </c>
      <c r="C54" s="3" t="s">
        <v>156</v>
      </c>
    </row>
    <row r="55" customFormat="false" ht="23.85" hidden="false" customHeight="false" outlineLevel="0" collapsed="false">
      <c r="A55" s="2" t="s">
        <v>157</v>
      </c>
      <c r="B55" s="3" t="s">
        <v>158</v>
      </c>
      <c r="C55" s="3" t="s">
        <v>159</v>
      </c>
    </row>
    <row r="56" customFormat="false" ht="46.25" hidden="false" customHeight="false" outlineLevel="0" collapsed="false">
      <c r="A56" s="2" t="s">
        <v>160</v>
      </c>
      <c r="B56" s="3" t="s">
        <v>161</v>
      </c>
      <c r="C56" s="3" t="s">
        <v>162</v>
      </c>
    </row>
    <row r="57" customFormat="false" ht="35.05" hidden="false" customHeight="false" outlineLevel="0" collapsed="false">
      <c r="A57" s="2" t="s">
        <v>163</v>
      </c>
      <c r="B57" s="3" t="s">
        <v>164</v>
      </c>
      <c r="C57" s="3" t="s">
        <v>165</v>
      </c>
    </row>
    <row r="58" customFormat="false" ht="35.05" hidden="false" customHeight="false" outlineLevel="0" collapsed="false">
      <c r="A58" s="2" t="s">
        <v>166</v>
      </c>
      <c r="B58" s="3" t="s">
        <v>167</v>
      </c>
      <c r="C58" s="3" t="s">
        <v>168</v>
      </c>
    </row>
    <row r="59" customFormat="false" ht="35.05" hidden="false" customHeight="false" outlineLevel="0" collapsed="false">
      <c r="A59" s="2" t="s">
        <v>169</v>
      </c>
      <c r="B59" s="3" t="s">
        <v>170</v>
      </c>
      <c r="C59" s="3" t="s">
        <v>171</v>
      </c>
    </row>
    <row r="60" customFormat="false" ht="23.85" hidden="false" customHeight="false" outlineLevel="0" collapsed="false">
      <c r="A60" s="2" t="s">
        <v>172</v>
      </c>
      <c r="B60" s="3" t="s">
        <v>173</v>
      </c>
      <c r="C60" s="3" t="s">
        <v>174</v>
      </c>
    </row>
    <row r="61" customFormat="false" ht="35.05" hidden="false" customHeight="false" outlineLevel="0" collapsed="false">
      <c r="A61" s="2" t="s">
        <v>175</v>
      </c>
      <c r="B61" s="3" t="s">
        <v>176</v>
      </c>
      <c r="C61" s="3" t="s">
        <v>177</v>
      </c>
    </row>
    <row r="62" customFormat="false" ht="35.05" hidden="false" customHeight="false" outlineLevel="0" collapsed="false">
      <c r="A62" s="2" t="s">
        <v>178</v>
      </c>
      <c r="B62" s="3" t="s">
        <v>179</v>
      </c>
      <c r="C62" s="3" t="s">
        <v>180</v>
      </c>
    </row>
    <row r="63" customFormat="false" ht="35.05" hidden="false" customHeight="false" outlineLevel="0" collapsed="false">
      <c r="A63" s="2" t="s">
        <v>181</v>
      </c>
      <c r="B63" s="3" t="s">
        <v>182</v>
      </c>
      <c r="C63" s="3" t="s">
        <v>183</v>
      </c>
    </row>
    <row r="64" customFormat="false" ht="57.45" hidden="false" customHeight="false" outlineLevel="0" collapsed="false">
      <c r="A64" s="2" t="s">
        <v>184</v>
      </c>
      <c r="B64" s="3" t="s">
        <v>185</v>
      </c>
      <c r="C64" s="3" t="s">
        <v>186</v>
      </c>
    </row>
    <row r="65" customFormat="false" ht="35.05" hidden="false" customHeight="false" outlineLevel="0" collapsed="false">
      <c r="A65" s="2" t="s">
        <v>187</v>
      </c>
      <c r="B65" s="3" t="s">
        <v>188</v>
      </c>
      <c r="C65" s="3" t="s">
        <v>189</v>
      </c>
    </row>
    <row r="66" customFormat="false" ht="57.45" hidden="false" customHeight="false" outlineLevel="0" collapsed="false">
      <c r="A66" s="2" t="s">
        <v>190</v>
      </c>
      <c r="B66" s="3" t="s">
        <v>191</v>
      </c>
      <c r="C66" s="3" t="s">
        <v>192</v>
      </c>
    </row>
    <row r="67" customFormat="false" ht="46.25" hidden="false" customHeight="false" outlineLevel="0" collapsed="false">
      <c r="A67" s="2" t="s">
        <v>193</v>
      </c>
      <c r="B67" s="3" t="s">
        <v>194</v>
      </c>
      <c r="C67" s="3"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9"/>
    <col collapsed="false" customWidth="true" hidden="false" outlineLevel="0" max="4" min="4" style="0" width="28"/>
    <col collapsed="false" customWidth="true" hidden="false" outlineLevel="0" max="6" min="5" style="0" width="14"/>
    <col collapsed="false" customWidth="true" hidden="false" outlineLevel="0" max="7" min="7" style="0" width="8"/>
    <col collapsed="false" customWidth="true" hidden="false" outlineLevel="0" max="8" min="8" style="0" width="12"/>
    <col collapsed="false" customWidth="true" hidden="false" outlineLevel="0" max="9" min="9" style="0" width="70"/>
  </cols>
  <sheetData>
    <row r="1" customFormat="false" ht="35.05" hidden="false" customHeight="false" outlineLevel="0" collapsed="false">
      <c r="A1" s="1" t="s">
        <v>0</v>
      </c>
      <c r="B1" s="1" t="s">
        <v>196</v>
      </c>
      <c r="C1" s="1" t="s">
        <v>197</v>
      </c>
      <c r="D1" s="1" t="s">
        <v>198</v>
      </c>
      <c r="E1" s="1" t="s">
        <v>199</v>
      </c>
      <c r="F1" s="1" t="s">
        <v>200</v>
      </c>
      <c r="G1" s="1" t="s">
        <v>201</v>
      </c>
      <c r="H1" s="1" t="s">
        <v>202</v>
      </c>
      <c r="I1" s="1" t="s">
        <v>203</v>
      </c>
    </row>
    <row r="2" customFormat="false" ht="23.85" hidden="false" customHeight="false" outlineLevel="0" collapsed="false">
      <c r="A2" s="4" t="s">
        <v>3</v>
      </c>
      <c r="B2" s="4" t="n">
        <v>1</v>
      </c>
      <c r="C2" s="4" t="n">
        <v>1</v>
      </c>
      <c r="D2" s="4" t="s">
        <v>204</v>
      </c>
      <c r="E2" s="4" t="s">
        <v>205</v>
      </c>
      <c r="F2" s="4" t="s">
        <v>206</v>
      </c>
      <c r="G2" s="4" t="n">
        <v>8</v>
      </c>
      <c r="H2" s="5" t="n">
        <v>6.2</v>
      </c>
      <c r="I2" s="4" t="s">
        <v>207</v>
      </c>
    </row>
    <row r="3" customFormat="false" ht="15" hidden="false" customHeight="false" outlineLevel="0" collapsed="false">
      <c r="A3" s="4" t="s">
        <v>6</v>
      </c>
      <c r="B3" s="4" t="n">
        <v>1</v>
      </c>
      <c r="C3" s="4" t="n">
        <v>2</v>
      </c>
      <c r="D3" s="4" t="s">
        <v>208</v>
      </c>
      <c r="E3" s="4" t="s">
        <v>205</v>
      </c>
      <c r="F3" s="4" t="s">
        <v>209</v>
      </c>
      <c r="G3" s="4" t="n">
        <v>10</v>
      </c>
      <c r="H3" s="5" t="n">
        <v>7.9</v>
      </c>
      <c r="I3" s="4" t="s">
        <v>210</v>
      </c>
    </row>
    <row r="4" customFormat="false" ht="15" hidden="false" customHeight="false" outlineLevel="0" collapsed="false">
      <c r="A4" s="4" t="s">
        <v>9</v>
      </c>
      <c r="B4" s="4" t="n">
        <v>1</v>
      </c>
      <c r="C4" s="4" t="n">
        <v>3</v>
      </c>
      <c r="D4" s="4" t="s">
        <v>211</v>
      </c>
      <c r="E4" s="4"/>
      <c r="F4" s="4" t="s">
        <v>206</v>
      </c>
      <c r="G4" s="4" t="n">
        <v>8</v>
      </c>
      <c r="H4" s="5" t="n">
        <v>6.7</v>
      </c>
      <c r="I4" s="4" t="s">
        <v>212</v>
      </c>
    </row>
    <row r="5" customFormat="false" ht="15" hidden="false" customHeight="false" outlineLevel="0" collapsed="false">
      <c r="A5" s="3" t="s">
        <v>12</v>
      </c>
      <c r="B5" s="3" t="n">
        <v>1</v>
      </c>
      <c r="C5" s="3" t="n">
        <v>4</v>
      </c>
      <c r="D5" s="3" t="s">
        <v>213</v>
      </c>
      <c r="E5" s="3"/>
      <c r="F5" s="3" t="s">
        <v>209</v>
      </c>
      <c r="G5" s="3" t="n">
        <v>6</v>
      </c>
      <c r="H5" s="6" t="n">
        <v>5.5</v>
      </c>
      <c r="I5" s="3"/>
    </row>
    <row r="6" customFormat="false" ht="15" hidden="false" customHeight="false" outlineLevel="0" collapsed="false">
      <c r="A6" s="3" t="s">
        <v>15</v>
      </c>
      <c r="B6" s="3" t="n">
        <v>1</v>
      </c>
      <c r="C6" s="3" t="n">
        <v>5</v>
      </c>
      <c r="D6" s="3" t="s">
        <v>214</v>
      </c>
      <c r="E6" s="3" t="s">
        <v>215</v>
      </c>
      <c r="F6" s="3"/>
      <c r="G6" s="3" t="n">
        <v>0</v>
      </c>
      <c r="H6" s="6" t="n">
        <v>6</v>
      </c>
      <c r="I6" s="3"/>
    </row>
    <row r="7" customFormat="false" ht="15" hidden="false" customHeight="false" outlineLevel="0" collapsed="false">
      <c r="A7" s="4" t="s">
        <v>17</v>
      </c>
      <c r="B7" s="4" t="n">
        <v>1</v>
      </c>
      <c r="C7" s="4" t="n">
        <v>6</v>
      </c>
      <c r="D7" s="4" t="s">
        <v>216</v>
      </c>
      <c r="E7" s="4"/>
      <c r="F7" s="4" t="s">
        <v>217</v>
      </c>
      <c r="G7" s="4" t="n">
        <v>8</v>
      </c>
      <c r="H7" s="5" t="n">
        <v>6.2</v>
      </c>
      <c r="I7" s="4" t="s">
        <v>218</v>
      </c>
    </row>
    <row r="8" customFormat="false" ht="15" hidden="false" customHeight="false" outlineLevel="0" collapsed="false">
      <c r="A8" s="3" t="s">
        <v>20</v>
      </c>
      <c r="B8" s="3" t="n">
        <v>1</v>
      </c>
      <c r="C8" s="3" t="n">
        <v>6</v>
      </c>
      <c r="D8" s="3" t="s">
        <v>216</v>
      </c>
      <c r="E8" s="3"/>
      <c r="F8" s="3" t="s">
        <v>209</v>
      </c>
      <c r="G8" s="3" t="n">
        <v>8</v>
      </c>
      <c r="H8" s="6" t="n">
        <v>6.7</v>
      </c>
      <c r="I8" s="3"/>
    </row>
    <row r="9" customFormat="false" ht="23.85" hidden="false" customHeight="false" outlineLevel="0" collapsed="false">
      <c r="A9" s="4" t="s">
        <v>23</v>
      </c>
      <c r="B9" s="4" t="n">
        <v>1</v>
      </c>
      <c r="C9" s="4" t="n">
        <v>7</v>
      </c>
      <c r="D9" s="4" t="s">
        <v>219</v>
      </c>
      <c r="E9" s="4"/>
      <c r="F9" s="4" t="s">
        <v>220</v>
      </c>
      <c r="G9" s="4" t="n">
        <v>8</v>
      </c>
      <c r="H9" s="5" t="n">
        <v>7.2</v>
      </c>
      <c r="I9" s="4" t="s">
        <v>221</v>
      </c>
    </row>
    <row r="10" customFormat="false" ht="15" hidden="false" customHeight="false" outlineLevel="0" collapsed="false">
      <c r="A10" s="3" t="s">
        <v>26</v>
      </c>
      <c r="B10" s="3" t="n">
        <v>1</v>
      </c>
      <c r="C10" s="3" t="n">
        <v>8</v>
      </c>
      <c r="D10" s="3" t="s">
        <v>222</v>
      </c>
      <c r="E10" s="3"/>
      <c r="F10" s="3" t="s">
        <v>217</v>
      </c>
      <c r="G10" s="3" t="n">
        <v>8</v>
      </c>
      <c r="H10" s="6" t="n">
        <v>6.2</v>
      </c>
      <c r="I10" s="3"/>
    </row>
    <row r="11" customFormat="false" ht="15" hidden="false" customHeight="false" outlineLevel="0" collapsed="false">
      <c r="A11" s="3" t="s">
        <v>29</v>
      </c>
      <c r="B11" s="3" t="n">
        <v>1</v>
      </c>
      <c r="C11" s="3" t="n">
        <v>9</v>
      </c>
      <c r="D11" s="3" t="s">
        <v>223</v>
      </c>
      <c r="E11" s="3"/>
      <c r="F11" s="3" t="s">
        <v>224</v>
      </c>
      <c r="G11" s="3" t="n">
        <v>7</v>
      </c>
      <c r="H11" s="6" t="n">
        <v>5.6</v>
      </c>
      <c r="I11" s="3"/>
    </row>
    <row r="12" customFormat="false" ht="15" hidden="false" customHeight="false" outlineLevel="0" collapsed="false">
      <c r="A12" s="3" t="s">
        <v>32</v>
      </c>
      <c r="B12" s="3" t="n">
        <v>1</v>
      </c>
      <c r="C12" s="3" t="n">
        <v>10</v>
      </c>
      <c r="D12" s="3" t="s">
        <v>225</v>
      </c>
      <c r="E12" s="3"/>
      <c r="F12" s="3" t="s">
        <v>226</v>
      </c>
      <c r="G12" s="3" t="n">
        <v>11</v>
      </c>
      <c r="H12" s="6" t="n">
        <v>8</v>
      </c>
      <c r="I12" s="3"/>
    </row>
    <row r="13" customFormat="false" ht="15" hidden="false" customHeight="false" outlineLevel="0" collapsed="false">
      <c r="A13" s="3" t="s">
        <v>35</v>
      </c>
      <c r="B13" s="3" t="n">
        <v>1</v>
      </c>
      <c r="C13" s="3" t="n">
        <v>11</v>
      </c>
      <c r="D13" s="3" t="s">
        <v>227</v>
      </c>
      <c r="E13" s="3"/>
      <c r="F13" s="3" t="s">
        <v>217</v>
      </c>
      <c r="G13" s="3" t="n">
        <v>8</v>
      </c>
      <c r="H13" s="6" t="n">
        <v>6.7</v>
      </c>
      <c r="I13" s="3"/>
    </row>
    <row r="14" customFormat="false" ht="23.85" hidden="false" customHeight="false" outlineLevel="0" collapsed="false">
      <c r="A14" s="4" t="s">
        <v>38</v>
      </c>
      <c r="B14" s="4" t="n">
        <v>1</v>
      </c>
      <c r="C14" s="4" t="n">
        <v>12</v>
      </c>
      <c r="D14" s="4" t="s">
        <v>228</v>
      </c>
      <c r="E14" s="4"/>
      <c r="F14" s="4" t="s">
        <v>220</v>
      </c>
      <c r="G14" s="4" t="n">
        <v>9</v>
      </c>
      <c r="H14" s="5" t="n">
        <v>7.3</v>
      </c>
      <c r="I14" s="4" t="s">
        <v>229</v>
      </c>
    </row>
    <row r="15" customFormat="false" ht="23.85" hidden="false" customHeight="false" outlineLevel="0" collapsed="false">
      <c r="A15" s="4" t="s">
        <v>41</v>
      </c>
      <c r="B15" s="4" t="n">
        <v>2</v>
      </c>
      <c r="C15" s="4" t="n">
        <v>13</v>
      </c>
      <c r="D15" s="4" t="s">
        <v>230</v>
      </c>
      <c r="E15" s="4"/>
      <c r="F15" s="4" t="s">
        <v>220</v>
      </c>
      <c r="G15" s="4" t="n">
        <v>7</v>
      </c>
      <c r="H15" s="5" t="n">
        <v>5.6</v>
      </c>
      <c r="I15" s="4" t="s">
        <v>231</v>
      </c>
    </row>
    <row r="16" customFormat="false" ht="15" hidden="false" customHeight="false" outlineLevel="0" collapsed="false">
      <c r="A16" s="3" t="s">
        <v>44</v>
      </c>
      <c r="B16" s="3" t="n">
        <v>2</v>
      </c>
      <c r="C16" s="3" t="n">
        <v>14</v>
      </c>
      <c r="D16" s="3" t="s">
        <v>232</v>
      </c>
      <c r="E16" s="3"/>
      <c r="F16" s="3" t="s">
        <v>224</v>
      </c>
      <c r="G16" s="3" t="n">
        <v>7</v>
      </c>
      <c r="H16" s="6" t="n">
        <v>5.6</v>
      </c>
      <c r="I16" s="3"/>
    </row>
    <row r="17" customFormat="false" ht="15" hidden="false" customHeight="false" outlineLevel="0" collapsed="false">
      <c r="A17" s="3" t="s">
        <v>47</v>
      </c>
      <c r="B17" s="3" t="n">
        <v>2</v>
      </c>
      <c r="C17" s="3" t="n">
        <v>15</v>
      </c>
      <c r="D17" s="3" t="s">
        <v>233</v>
      </c>
      <c r="E17" s="3"/>
      <c r="F17" s="3" t="s">
        <v>209</v>
      </c>
      <c r="G17" s="3" t="n">
        <v>9</v>
      </c>
      <c r="H17" s="6" t="n">
        <v>7.3</v>
      </c>
      <c r="I17" s="3"/>
    </row>
    <row r="18" customFormat="false" ht="15" hidden="false" customHeight="false" outlineLevel="0" collapsed="false">
      <c r="A18" s="3" t="s">
        <v>50</v>
      </c>
      <c r="B18" s="3" t="n">
        <v>2</v>
      </c>
      <c r="C18" s="3" t="n">
        <v>16</v>
      </c>
      <c r="D18" s="3" t="s">
        <v>234</v>
      </c>
      <c r="E18" s="3"/>
      <c r="F18" s="3" t="s">
        <v>209</v>
      </c>
      <c r="G18" s="3" t="n">
        <v>9</v>
      </c>
      <c r="H18" s="6" t="n">
        <v>7.3</v>
      </c>
      <c r="I18" s="3"/>
    </row>
    <row r="19" customFormat="false" ht="15" hidden="false" customHeight="false" outlineLevel="0" collapsed="false">
      <c r="A19" s="4" t="s">
        <v>53</v>
      </c>
      <c r="B19" s="4" t="n">
        <v>2</v>
      </c>
      <c r="C19" s="4" t="n">
        <v>17</v>
      </c>
      <c r="D19" s="4" t="s">
        <v>235</v>
      </c>
      <c r="E19" s="4"/>
      <c r="F19" s="4" t="s">
        <v>217</v>
      </c>
      <c r="G19" s="4" t="n">
        <v>10</v>
      </c>
      <c r="H19" s="5" t="n">
        <v>7.9</v>
      </c>
      <c r="I19" s="4" t="s">
        <v>236</v>
      </c>
    </row>
    <row r="20" customFormat="false" ht="15" hidden="false" customHeight="false" outlineLevel="0" collapsed="false">
      <c r="A20" s="3" t="s">
        <v>56</v>
      </c>
      <c r="B20" s="3" t="n">
        <v>2</v>
      </c>
      <c r="C20" s="3" t="n">
        <v>17</v>
      </c>
      <c r="D20" s="3" t="s">
        <v>235</v>
      </c>
      <c r="E20" s="3"/>
      <c r="F20" s="3" t="s">
        <v>209</v>
      </c>
      <c r="G20" s="3" t="n">
        <v>6</v>
      </c>
      <c r="H20" s="6" t="n">
        <v>5.5</v>
      </c>
      <c r="I20" s="3"/>
    </row>
    <row r="21" customFormat="false" ht="15" hidden="false" customHeight="false" outlineLevel="0" collapsed="false">
      <c r="A21" s="3" t="s">
        <v>59</v>
      </c>
      <c r="B21" s="3" t="n">
        <v>2</v>
      </c>
      <c r="C21" s="3" t="n">
        <v>18</v>
      </c>
      <c r="D21" s="3" t="s">
        <v>237</v>
      </c>
      <c r="E21" s="3"/>
      <c r="F21" s="3" t="s">
        <v>220</v>
      </c>
      <c r="G21" s="3" t="n">
        <v>8</v>
      </c>
      <c r="H21" s="6" t="n">
        <v>6.7</v>
      </c>
      <c r="I21" s="3"/>
    </row>
    <row r="22" customFormat="false" ht="15" hidden="false" customHeight="false" outlineLevel="0" collapsed="false">
      <c r="A22" s="3" t="s">
        <v>62</v>
      </c>
      <c r="B22" s="3" t="n">
        <v>2</v>
      </c>
      <c r="C22" s="3" t="n">
        <v>19</v>
      </c>
      <c r="D22" s="3" t="s">
        <v>238</v>
      </c>
      <c r="E22" s="3" t="s">
        <v>239</v>
      </c>
      <c r="F22" s="3" t="s">
        <v>209</v>
      </c>
      <c r="G22" s="3" t="n">
        <v>7</v>
      </c>
      <c r="H22" s="6" t="n">
        <v>5.6</v>
      </c>
      <c r="I22" s="3"/>
    </row>
    <row r="23" customFormat="false" ht="15" hidden="false" customHeight="false" outlineLevel="0" collapsed="false">
      <c r="A23" s="3" t="s">
        <v>65</v>
      </c>
      <c r="B23" s="3" t="n">
        <v>2</v>
      </c>
      <c r="C23" s="3" t="n">
        <v>20</v>
      </c>
      <c r="D23" s="3" t="s">
        <v>240</v>
      </c>
      <c r="E23" s="3" t="s">
        <v>215</v>
      </c>
      <c r="F23" s="3"/>
      <c r="G23" s="3" t="n">
        <v>0</v>
      </c>
      <c r="H23" s="6" t="n">
        <v>6</v>
      </c>
      <c r="I23" s="3"/>
    </row>
    <row r="24" customFormat="false" ht="15" hidden="false" customHeight="false" outlineLevel="0" collapsed="false">
      <c r="A24" s="4" t="s">
        <v>67</v>
      </c>
      <c r="B24" s="4" t="n">
        <v>2</v>
      </c>
      <c r="C24" s="4" t="n">
        <v>21</v>
      </c>
      <c r="D24" s="4" t="s">
        <v>241</v>
      </c>
      <c r="E24" s="4" t="s">
        <v>239</v>
      </c>
      <c r="F24" s="4" t="s">
        <v>217</v>
      </c>
      <c r="G24" s="4" t="n">
        <v>8</v>
      </c>
      <c r="H24" s="5" t="n">
        <v>6.7</v>
      </c>
      <c r="I24" s="4" t="s">
        <v>242</v>
      </c>
    </row>
    <row r="25" customFormat="false" ht="15" hidden="false" customHeight="false" outlineLevel="0" collapsed="false">
      <c r="A25" s="3" t="s">
        <v>70</v>
      </c>
      <c r="B25" s="3" t="n">
        <v>2</v>
      </c>
      <c r="C25" s="3" t="n">
        <v>21</v>
      </c>
      <c r="D25" s="3" t="s">
        <v>241</v>
      </c>
      <c r="E25" s="3" t="s">
        <v>239</v>
      </c>
      <c r="F25" s="3" t="s">
        <v>209</v>
      </c>
      <c r="G25" s="3" t="n">
        <v>5</v>
      </c>
      <c r="H25" s="6" t="n">
        <v>4.9</v>
      </c>
      <c r="I25" s="3"/>
    </row>
    <row r="26" customFormat="false" ht="15" hidden="false" customHeight="false" outlineLevel="0" collapsed="false">
      <c r="A26" s="3" t="s">
        <v>73</v>
      </c>
      <c r="B26" s="3" t="n">
        <v>2</v>
      </c>
      <c r="C26" s="3" t="n">
        <v>22</v>
      </c>
      <c r="D26" s="3" t="s">
        <v>243</v>
      </c>
      <c r="E26" s="3"/>
      <c r="F26" s="3" t="s">
        <v>217</v>
      </c>
      <c r="G26" s="3" t="n">
        <v>10</v>
      </c>
      <c r="H26" s="6" t="n">
        <v>7.9</v>
      </c>
      <c r="I26" s="3"/>
    </row>
    <row r="27" customFormat="false" ht="15" hidden="false" customHeight="false" outlineLevel="0" collapsed="false">
      <c r="A27" s="3" t="s">
        <v>76</v>
      </c>
      <c r="B27" s="3" t="n">
        <v>2</v>
      </c>
      <c r="C27" s="3" t="n">
        <v>23</v>
      </c>
      <c r="D27" s="3" t="s">
        <v>244</v>
      </c>
      <c r="E27" s="3"/>
      <c r="F27" s="3" t="s">
        <v>226</v>
      </c>
      <c r="G27" s="3" t="n">
        <v>11</v>
      </c>
      <c r="H27" s="6" t="n">
        <v>8.5</v>
      </c>
      <c r="I27" s="3"/>
    </row>
    <row r="28" customFormat="false" ht="15" hidden="false" customHeight="false" outlineLevel="0" collapsed="false">
      <c r="A28" s="3" t="s">
        <v>79</v>
      </c>
      <c r="B28" s="3" t="n">
        <v>3</v>
      </c>
      <c r="C28" s="3" t="n">
        <v>24</v>
      </c>
      <c r="D28" s="3" t="s">
        <v>245</v>
      </c>
      <c r="E28" s="3"/>
      <c r="F28" s="3" t="s">
        <v>217</v>
      </c>
      <c r="G28" s="3" t="n">
        <v>8</v>
      </c>
      <c r="H28" s="6" t="n">
        <v>6.2</v>
      </c>
      <c r="I28" s="3"/>
    </row>
    <row r="29" customFormat="false" ht="15" hidden="false" customHeight="false" outlineLevel="0" collapsed="false">
      <c r="A29" s="3" t="s">
        <v>82</v>
      </c>
      <c r="B29" s="3" t="n">
        <v>3</v>
      </c>
      <c r="C29" s="3" t="n">
        <v>25</v>
      </c>
      <c r="D29" s="3" t="s">
        <v>246</v>
      </c>
      <c r="E29" s="3"/>
      <c r="F29" s="3" t="s">
        <v>224</v>
      </c>
      <c r="G29" s="3" t="n">
        <v>11</v>
      </c>
      <c r="H29" s="6" t="n">
        <v>8.5</v>
      </c>
      <c r="I29" s="3"/>
    </row>
    <row r="30" customFormat="false" ht="15" hidden="false" customHeight="false" outlineLevel="0" collapsed="false">
      <c r="A30" s="3" t="s">
        <v>85</v>
      </c>
      <c r="B30" s="3" t="n">
        <v>3</v>
      </c>
      <c r="C30" s="3" t="n">
        <v>26</v>
      </c>
      <c r="D30" s="3" t="s">
        <v>247</v>
      </c>
      <c r="E30" s="3" t="s">
        <v>248</v>
      </c>
      <c r="F30" s="3" t="s">
        <v>220</v>
      </c>
      <c r="G30" s="3" t="n">
        <v>5</v>
      </c>
      <c r="H30" s="6" t="n">
        <v>4.9</v>
      </c>
      <c r="I30" s="3"/>
    </row>
    <row r="31" customFormat="false" ht="15" hidden="false" customHeight="false" outlineLevel="0" collapsed="false">
      <c r="A31" s="3" t="s">
        <v>88</v>
      </c>
      <c r="B31" s="3" t="n">
        <v>3</v>
      </c>
      <c r="C31" s="3" t="n">
        <v>27</v>
      </c>
      <c r="D31" s="3" t="s">
        <v>249</v>
      </c>
      <c r="E31" s="3"/>
      <c r="F31" s="3" t="s">
        <v>226</v>
      </c>
      <c r="G31" s="3" t="n">
        <v>7</v>
      </c>
      <c r="H31" s="6" t="n">
        <v>6.1</v>
      </c>
      <c r="I31" s="3"/>
    </row>
    <row r="32" customFormat="false" ht="15" hidden="false" customHeight="false" outlineLevel="0" collapsed="false">
      <c r="A32" s="3" t="s">
        <v>91</v>
      </c>
      <c r="B32" s="3" t="n">
        <v>3</v>
      </c>
      <c r="C32" s="3" t="n">
        <v>28</v>
      </c>
      <c r="D32" s="3" t="s">
        <v>250</v>
      </c>
      <c r="E32" s="3"/>
      <c r="F32" s="3" t="s">
        <v>217</v>
      </c>
      <c r="G32" s="3" t="n">
        <v>7</v>
      </c>
      <c r="H32" s="6" t="n">
        <v>6.1</v>
      </c>
      <c r="I32" s="3"/>
    </row>
    <row r="33" customFormat="false" ht="15" hidden="false" customHeight="false" outlineLevel="0" collapsed="false">
      <c r="A33" s="3" t="s">
        <v>94</v>
      </c>
      <c r="B33" s="3" t="n">
        <v>3</v>
      </c>
      <c r="C33" s="3" t="n">
        <v>29</v>
      </c>
      <c r="D33" s="3" t="s">
        <v>251</v>
      </c>
      <c r="E33" s="3"/>
      <c r="F33" s="3" t="s">
        <v>226</v>
      </c>
      <c r="G33" s="3" t="n">
        <v>8</v>
      </c>
      <c r="H33" s="6" t="n">
        <v>6.7</v>
      </c>
      <c r="I33" s="3"/>
    </row>
    <row r="34" customFormat="false" ht="15" hidden="false" customHeight="false" outlineLevel="0" collapsed="false">
      <c r="A34" s="3" t="s">
        <v>97</v>
      </c>
      <c r="B34" s="3" t="n">
        <v>3</v>
      </c>
      <c r="C34" s="3" t="n">
        <v>30</v>
      </c>
      <c r="D34" s="3" t="s">
        <v>252</v>
      </c>
      <c r="E34" s="3"/>
      <c r="F34" s="3" t="s">
        <v>220</v>
      </c>
      <c r="G34" s="3" t="n">
        <v>9</v>
      </c>
      <c r="H34" s="6" t="n">
        <v>7.3</v>
      </c>
      <c r="I34" s="3"/>
    </row>
    <row r="35" customFormat="false" ht="15" hidden="false" customHeight="false" outlineLevel="0" collapsed="false">
      <c r="A35" s="3" t="s">
        <v>100</v>
      </c>
      <c r="B35" s="3" t="n">
        <v>3</v>
      </c>
      <c r="C35" s="3" t="n">
        <v>31</v>
      </c>
      <c r="D35" s="3" t="s">
        <v>253</v>
      </c>
      <c r="E35" s="3"/>
      <c r="F35" s="3" t="s">
        <v>224</v>
      </c>
      <c r="G35" s="3" t="n">
        <v>10</v>
      </c>
      <c r="H35" s="6" t="n">
        <v>7.9</v>
      </c>
      <c r="I35" s="3"/>
    </row>
    <row r="36" customFormat="false" ht="15" hidden="false" customHeight="false" outlineLevel="0" collapsed="false">
      <c r="A36" s="3" t="s">
        <v>103</v>
      </c>
      <c r="B36" s="3" t="n">
        <v>3</v>
      </c>
      <c r="C36" s="3" t="n">
        <v>32</v>
      </c>
      <c r="D36" s="3" t="s">
        <v>254</v>
      </c>
      <c r="E36" s="3"/>
      <c r="F36" s="3" t="s">
        <v>217</v>
      </c>
      <c r="G36" s="3" t="n">
        <v>8</v>
      </c>
      <c r="H36" s="6" t="n">
        <v>6.7</v>
      </c>
      <c r="I36" s="3"/>
    </row>
    <row r="37" customFormat="false" ht="15" hidden="false" customHeight="false" outlineLevel="0" collapsed="false">
      <c r="A37" s="3" t="s">
        <v>106</v>
      </c>
      <c r="B37" s="3" t="n">
        <v>3</v>
      </c>
      <c r="C37" s="3" t="n">
        <v>33</v>
      </c>
      <c r="D37" s="3" t="s">
        <v>255</v>
      </c>
      <c r="E37" s="3"/>
      <c r="F37" s="3" t="s">
        <v>217</v>
      </c>
      <c r="G37" s="3" t="n">
        <v>9</v>
      </c>
      <c r="H37" s="6" t="n">
        <v>7.3</v>
      </c>
      <c r="I37" s="3"/>
    </row>
    <row r="38" customFormat="false" ht="15" hidden="false" customHeight="false" outlineLevel="0" collapsed="false">
      <c r="A38" s="3" t="s">
        <v>109</v>
      </c>
      <c r="B38" s="3" t="n">
        <v>3</v>
      </c>
      <c r="C38" s="3" t="n">
        <v>34</v>
      </c>
      <c r="D38" s="3" t="s">
        <v>256</v>
      </c>
      <c r="E38" s="3" t="s">
        <v>239</v>
      </c>
      <c r="F38" s="3" t="s">
        <v>209</v>
      </c>
      <c r="G38" s="3" t="n">
        <v>7</v>
      </c>
      <c r="H38" s="6" t="n">
        <v>6.1</v>
      </c>
      <c r="I38" s="3"/>
    </row>
    <row r="39" customFormat="false" ht="35.05" hidden="false" customHeight="false" outlineLevel="0" collapsed="false">
      <c r="A39" s="4" t="s">
        <v>112</v>
      </c>
      <c r="B39" s="4" t="n">
        <v>3</v>
      </c>
      <c r="C39" s="4" t="n">
        <v>35</v>
      </c>
      <c r="D39" s="4" t="s">
        <v>257</v>
      </c>
      <c r="E39" s="4"/>
      <c r="F39" s="4" t="s">
        <v>209</v>
      </c>
      <c r="G39" s="4" t="n">
        <v>10</v>
      </c>
      <c r="H39" s="5" t="n">
        <v>7.9</v>
      </c>
      <c r="I39" s="4" t="s">
        <v>258</v>
      </c>
    </row>
    <row r="40" customFormat="false" ht="15" hidden="false" customHeight="false" outlineLevel="0" collapsed="false">
      <c r="A40" s="3" t="s">
        <v>115</v>
      </c>
      <c r="B40" s="3" t="n">
        <v>3</v>
      </c>
      <c r="C40" s="3" t="n">
        <v>36</v>
      </c>
      <c r="D40" s="3" t="s">
        <v>259</v>
      </c>
      <c r="E40" s="3"/>
      <c r="F40" s="3" t="s">
        <v>220</v>
      </c>
      <c r="G40" s="3" t="n">
        <v>8</v>
      </c>
      <c r="H40" s="6" t="n">
        <v>6.7</v>
      </c>
      <c r="I40" s="3"/>
    </row>
    <row r="41" customFormat="false" ht="23.85" hidden="false" customHeight="false" outlineLevel="0" collapsed="false">
      <c r="A41" s="4" t="s">
        <v>118</v>
      </c>
      <c r="B41" s="4" t="n">
        <v>3</v>
      </c>
      <c r="C41" s="4" t="n">
        <v>37</v>
      </c>
      <c r="D41" s="4" t="s">
        <v>260</v>
      </c>
      <c r="E41" s="4" t="s">
        <v>215</v>
      </c>
      <c r="F41" s="4"/>
      <c r="G41" s="4" t="n">
        <v>0</v>
      </c>
      <c r="H41" s="5" t="n">
        <v>6</v>
      </c>
      <c r="I41" s="4" t="s">
        <v>261</v>
      </c>
    </row>
    <row r="42" customFormat="false" ht="15" hidden="false" customHeight="false" outlineLevel="0" collapsed="false">
      <c r="A42" s="4" t="s">
        <v>120</v>
      </c>
      <c r="B42" s="4" t="n">
        <v>3</v>
      </c>
      <c r="C42" s="4" t="n">
        <v>38</v>
      </c>
      <c r="D42" s="4" t="s">
        <v>262</v>
      </c>
      <c r="E42" s="4"/>
      <c r="F42" s="4" t="s">
        <v>217</v>
      </c>
      <c r="G42" s="4" t="n">
        <v>9</v>
      </c>
      <c r="H42" s="5" t="n">
        <v>7.3</v>
      </c>
      <c r="I42" s="4" t="s">
        <v>263</v>
      </c>
    </row>
    <row r="43" customFormat="false" ht="15" hidden="false" customHeight="false" outlineLevel="0" collapsed="false">
      <c r="A43" s="3" t="s">
        <v>123</v>
      </c>
      <c r="B43" s="3" t="n">
        <v>3</v>
      </c>
      <c r="C43" s="3" t="n">
        <v>38</v>
      </c>
      <c r="D43" s="3" t="s">
        <v>262</v>
      </c>
      <c r="E43" s="3"/>
      <c r="F43" s="3" t="s">
        <v>209</v>
      </c>
      <c r="G43" s="3" t="n">
        <v>9</v>
      </c>
      <c r="H43" s="6" t="n">
        <v>7.3</v>
      </c>
      <c r="I43" s="3"/>
    </row>
    <row r="44" customFormat="false" ht="15" hidden="false" customHeight="false" outlineLevel="0" collapsed="false">
      <c r="A44" s="3" t="s">
        <v>126</v>
      </c>
      <c r="B44" s="3" t="n">
        <v>3</v>
      </c>
      <c r="C44" s="3" t="n">
        <v>39</v>
      </c>
      <c r="D44" s="3" t="s">
        <v>264</v>
      </c>
      <c r="E44" s="3"/>
      <c r="F44" s="3" t="s">
        <v>217</v>
      </c>
      <c r="G44" s="3" t="n">
        <v>8</v>
      </c>
      <c r="H44" s="6" t="n">
        <v>6.7</v>
      </c>
      <c r="I44" s="3"/>
    </row>
    <row r="45" customFormat="false" ht="15" hidden="false" customHeight="false" outlineLevel="0" collapsed="false">
      <c r="A45" s="4" t="s">
        <v>129</v>
      </c>
      <c r="B45" s="4" t="n">
        <v>3</v>
      </c>
      <c r="C45" s="4" t="n">
        <v>40</v>
      </c>
      <c r="D45" s="4" t="s">
        <v>265</v>
      </c>
      <c r="E45" s="4"/>
      <c r="F45" s="4" t="s">
        <v>209</v>
      </c>
      <c r="G45" s="4" t="n">
        <v>9</v>
      </c>
      <c r="H45" s="5" t="n">
        <v>6.8</v>
      </c>
      <c r="I45" s="4" t="s">
        <v>266</v>
      </c>
    </row>
    <row r="46" customFormat="false" ht="15" hidden="false" customHeight="false" outlineLevel="0" collapsed="false">
      <c r="A46" s="3" t="s">
        <v>132</v>
      </c>
      <c r="B46" s="3" t="n">
        <v>3</v>
      </c>
      <c r="C46" s="3" t="n">
        <v>40</v>
      </c>
      <c r="D46" s="3" t="s">
        <v>265</v>
      </c>
      <c r="E46" s="3"/>
      <c r="F46" s="3" t="s">
        <v>217</v>
      </c>
      <c r="G46" s="3" t="n">
        <v>10</v>
      </c>
      <c r="H46" s="6" t="n">
        <v>7.4</v>
      </c>
      <c r="I46" s="3"/>
    </row>
    <row r="47" customFormat="false" ht="23.85" hidden="false" customHeight="false" outlineLevel="0" collapsed="false">
      <c r="A47" s="4" t="s">
        <v>135</v>
      </c>
      <c r="B47" s="4" t="n">
        <v>4</v>
      </c>
      <c r="C47" s="4" t="n">
        <v>41</v>
      </c>
      <c r="D47" s="4" t="s">
        <v>267</v>
      </c>
      <c r="E47" s="4" t="s">
        <v>215</v>
      </c>
      <c r="F47" s="4"/>
      <c r="G47" s="4" t="n">
        <v>0</v>
      </c>
      <c r="H47" s="5" t="n">
        <v>6</v>
      </c>
      <c r="I47" s="4" t="s">
        <v>268</v>
      </c>
    </row>
    <row r="48" customFormat="false" ht="15" hidden="false" customHeight="false" outlineLevel="0" collapsed="false">
      <c r="A48" s="3" t="s">
        <v>137</v>
      </c>
      <c r="B48" s="3" t="n">
        <v>4</v>
      </c>
      <c r="C48" s="3" t="n">
        <v>42</v>
      </c>
      <c r="D48" s="3" t="s">
        <v>269</v>
      </c>
      <c r="E48" s="3"/>
      <c r="F48" s="3" t="s">
        <v>209</v>
      </c>
      <c r="G48" s="3" t="n">
        <v>9</v>
      </c>
      <c r="H48" s="6" t="n">
        <v>7.3</v>
      </c>
      <c r="I48" s="3"/>
    </row>
    <row r="49" customFormat="false" ht="15" hidden="false" customHeight="false" outlineLevel="0" collapsed="false">
      <c r="A49" s="3" t="s">
        <v>140</v>
      </c>
      <c r="B49" s="3" t="n">
        <v>4</v>
      </c>
      <c r="C49" s="3" t="n">
        <v>43</v>
      </c>
      <c r="D49" s="3" t="s">
        <v>270</v>
      </c>
      <c r="E49" s="3"/>
      <c r="F49" s="3" t="s">
        <v>217</v>
      </c>
      <c r="G49" s="3" t="n">
        <v>11</v>
      </c>
      <c r="H49" s="6" t="n">
        <v>8.5</v>
      </c>
      <c r="I49" s="3"/>
    </row>
    <row r="50" customFormat="false" ht="23.85" hidden="false" customHeight="false" outlineLevel="0" collapsed="false">
      <c r="A50" s="4" t="s">
        <v>143</v>
      </c>
      <c r="B50" s="4" t="n">
        <v>4</v>
      </c>
      <c r="C50" s="4" t="n">
        <v>44</v>
      </c>
      <c r="D50" s="4" t="s">
        <v>271</v>
      </c>
      <c r="E50" s="4" t="s">
        <v>215</v>
      </c>
      <c r="F50" s="4"/>
      <c r="G50" s="4" t="n">
        <v>0</v>
      </c>
      <c r="H50" s="5" t="n">
        <v>6</v>
      </c>
      <c r="I50" s="4" t="s">
        <v>272</v>
      </c>
    </row>
    <row r="51" customFormat="false" ht="15" hidden="false" customHeight="false" outlineLevel="0" collapsed="false">
      <c r="A51" s="3" t="s">
        <v>145</v>
      </c>
      <c r="B51" s="3" t="n">
        <v>4</v>
      </c>
      <c r="C51" s="3" t="n">
        <v>45</v>
      </c>
      <c r="D51" s="3" t="s">
        <v>273</v>
      </c>
      <c r="E51" s="3"/>
      <c r="F51" s="3" t="s">
        <v>206</v>
      </c>
      <c r="G51" s="3" t="n">
        <v>7</v>
      </c>
      <c r="H51" s="6" t="n">
        <v>5.6</v>
      </c>
      <c r="I51" s="3"/>
    </row>
    <row r="52" customFormat="false" ht="15" hidden="false" customHeight="false" outlineLevel="0" collapsed="false">
      <c r="A52" s="3" t="s">
        <v>148</v>
      </c>
      <c r="B52" s="3" t="n">
        <v>4</v>
      </c>
      <c r="C52" s="3" t="n">
        <v>46</v>
      </c>
      <c r="D52" s="3" t="s">
        <v>274</v>
      </c>
      <c r="E52" s="3" t="s">
        <v>239</v>
      </c>
      <c r="F52" s="3" t="s">
        <v>209</v>
      </c>
      <c r="G52" s="3" t="n">
        <v>10</v>
      </c>
      <c r="H52" s="6" t="n">
        <v>7.9</v>
      </c>
      <c r="I52" s="3"/>
    </row>
    <row r="53" customFormat="false" ht="15" hidden="false" customHeight="false" outlineLevel="0" collapsed="false">
      <c r="A53" s="3" t="s">
        <v>151</v>
      </c>
      <c r="B53" s="3" t="n">
        <v>4</v>
      </c>
      <c r="C53" s="3" t="n">
        <v>47</v>
      </c>
      <c r="D53" s="3" t="s">
        <v>275</v>
      </c>
      <c r="E53" s="3"/>
      <c r="F53" s="3" t="s">
        <v>209</v>
      </c>
      <c r="G53" s="3" t="n">
        <v>11</v>
      </c>
      <c r="H53" s="6" t="n">
        <v>8</v>
      </c>
      <c r="I53" s="3"/>
    </row>
    <row r="54" customFormat="false" ht="15" hidden="false" customHeight="false" outlineLevel="0" collapsed="false">
      <c r="A54" s="3" t="s">
        <v>154</v>
      </c>
      <c r="B54" s="3" t="n">
        <v>4</v>
      </c>
      <c r="C54" s="3" t="n">
        <v>48</v>
      </c>
      <c r="D54" s="3" t="s">
        <v>276</v>
      </c>
      <c r="E54" s="3"/>
      <c r="F54" s="3" t="s">
        <v>206</v>
      </c>
      <c r="G54" s="3" t="n">
        <v>10</v>
      </c>
      <c r="H54" s="6" t="n">
        <v>7.9</v>
      </c>
      <c r="I54" s="3"/>
    </row>
    <row r="55" customFormat="false" ht="15" hidden="false" customHeight="false" outlineLevel="0" collapsed="false">
      <c r="A55" s="4" t="s">
        <v>157</v>
      </c>
      <c r="B55" s="4" t="n">
        <v>4</v>
      </c>
      <c r="C55" s="4" t="n">
        <v>49</v>
      </c>
      <c r="D55" s="4" t="s">
        <v>277</v>
      </c>
      <c r="E55" s="4"/>
      <c r="F55" s="4" t="s">
        <v>209</v>
      </c>
      <c r="G55" s="4" t="n">
        <v>11</v>
      </c>
      <c r="H55" s="5" t="n">
        <v>8.5</v>
      </c>
      <c r="I55" s="4" t="s">
        <v>278</v>
      </c>
    </row>
    <row r="56" customFormat="false" ht="15" hidden="false" customHeight="false" outlineLevel="0" collapsed="false">
      <c r="A56" s="3" t="s">
        <v>160</v>
      </c>
      <c r="B56" s="3" t="n">
        <v>4</v>
      </c>
      <c r="C56" s="3" t="n">
        <v>49</v>
      </c>
      <c r="D56" s="3" t="s">
        <v>277</v>
      </c>
      <c r="E56" s="3"/>
      <c r="F56" s="3" t="s">
        <v>217</v>
      </c>
      <c r="G56" s="3" t="n">
        <v>8</v>
      </c>
      <c r="H56" s="6" t="n">
        <v>6.7</v>
      </c>
      <c r="I56" s="3"/>
    </row>
    <row r="57" customFormat="false" ht="35.05" hidden="false" customHeight="false" outlineLevel="0" collapsed="false">
      <c r="A57" s="4" t="s">
        <v>163</v>
      </c>
      <c r="B57" s="4" t="n">
        <v>4</v>
      </c>
      <c r="C57" s="4" t="n">
        <v>50</v>
      </c>
      <c r="D57" s="4" t="s">
        <v>279</v>
      </c>
      <c r="E57" s="4"/>
      <c r="F57" s="4" t="s">
        <v>206</v>
      </c>
      <c r="G57" s="4" t="n">
        <v>5</v>
      </c>
      <c r="H57" s="5" t="n">
        <v>4.9</v>
      </c>
      <c r="I57" s="4" t="s">
        <v>280</v>
      </c>
    </row>
    <row r="58" customFormat="false" ht="15" hidden="false" customHeight="false" outlineLevel="0" collapsed="false">
      <c r="A58" s="3" t="s">
        <v>166</v>
      </c>
      <c r="B58" s="3" t="n">
        <v>4</v>
      </c>
      <c r="C58" s="3" t="n">
        <v>51</v>
      </c>
      <c r="D58" s="3" t="s">
        <v>281</v>
      </c>
      <c r="E58" s="3"/>
      <c r="F58" s="3" t="s">
        <v>220</v>
      </c>
      <c r="G58" s="3" t="n">
        <v>7</v>
      </c>
      <c r="H58" s="6" t="n">
        <v>6.1</v>
      </c>
      <c r="I58" s="3"/>
    </row>
    <row r="59" customFormat="false" ht="15" hidden="false" customHeight="false" outlineLevel="0" collapsed="false">
      <c r="A59" s="3" t="s">
        <v>169</v>
      </c>
      <c r="B59" s="3" t="n">
        <v>4</v>
      </c>
      <c r="C59" s="3" t="n">
        <v>52</v>
      </c>
      <c r="D59" s="3" t="s">
        <v>282</v>
      </c>
      <c r="E59" s="3"/>
      <c r="F59" s="3" t="s">
        <v>209</v>
      </c>
      <c r="G59" s="3" t="n">
        <v>8</v>
      </c>
      <c r="H59" s="6" t="n">
        <v>6.7</v>
      </c>
      <c r="I59" s="3"/>
    </row>
    <row r="60" customFormat="false" ht="15" hidden="false" customHeight="false" outlineLevel="0" collapsed="false">
      <c r="A60" s="4" t="s">
        <v>172</v>
      </c>
      <c r="B60" s="4" t="n">
        <v>4</v>
      </c>
      <c r="C60" s="4" t="n">
        <v>53</v>
      </c>
      <c r="D60" s="4" t="s">
        <v>283</v>
      </c>
      <c r="E60" s="4"/>
      <c r="F60" s="4" t="s">
        <v>209</v>
      </c>
      <c r="G60" s="4" t="n">
        <v>11</v>
      </c>
      <c r="H60" s="5" t="n">
        <v>8.5</v>
      </c>
      <c r="I60" s="4" t="s">
        <v>284</v>
      </c>
    </row>
    <row r="61" customFormat="false" ht="15" hidden="false" customHeight="false" outlineLevel="0" collapsed="false">
      <c r="A61" s="3" t="s">
        <v>175</v>
      </c>
      <c r="B61" s="3" t="n">
        <v>4</v>
      </c>
      <c r="C61" s="3" t="n">
        <v>53</v>
      </c>
      <c r="D61" s="3" t="s">
        <v>283</v>
      </c>
      <c r="E61" s="3"/>
      <c r="F61" s="3" t="s">
        <v>217</v>
      </c>
      <c r="G61" s="3" t="n">
        <v>6</v>
      </c>
      <c r="H61" s="6" t="n">
        <v>5.5</v>
      </c>
      <c r="I61" s="3"/>
    </row>
    <row r="62" customFormat="false" ht="15" hidden="false" customHeight="false" outlineLevel="0" collapsed="false">
      <c r="A62" s="4" t="s">
        <v>178</v>
      </c>
      <c r="B62" s="4" t="n">
        <v>4</v>
      </c>
      <c r="C62" s="4" t="n">
        <v>54</v>
      </c>
      <c r="D62" s="4" t="s">
        <v>285</v>
      </c>
      <c r="E62" s="4"/>
      <c r="F62" s="4" t="s">
        <v>209</v>
      </c>
      <c r="G62" s="4" t="n">
        <v>10</v>
      </c>
      <c r="H62" s="5" t="n">
        <v>7.9</v>
      </c>
      <c r="I62" s="4" t="s">
        <v>286</v>
      </c>
    </row>
    <row r="63" customFormat="false" ht="15" hidden="false" customHeight="false" outlineLevel="0" collapsed="false">
      <c r="A63" s="3" t="s">
        <v>181</v>
      </c>
      <c r="B63" s="3" t="n">
        <v>4</v>
      </c>
      <c r="C63" s="3" t="n">
        <v>54</v>
      </c>
      <c r="D63" s="3" t="s">
        <v>285</v>
      </c>
      <c r="E63" s="3"/>
      <c r="F63" s="3" t="s">
        <v>217</v>
      </c>
      <c r="G63" s="3" t="n">
        <v>7</v>
      </c>
      <c r="H63" s="6" t="n">
        <v>6.1</v>
      </c>
      <c r="I63" s="3"/>
    </row>
    <row r="64" customFormat="false" ht="23.85" hidden="false" customHeight="false" outlineLevel="0" collapsed="false">
      <c r="A64" s="4" t="s">
        <v>184</v>
      </c>
      <c r="B64" s="4" t="n">
        <v>4</v>
      </c>
      <c r="C64" s="4" t="n">
        <v>55</v>
      </c>
      <c r="D64" s="4" t="s">
        <v>287</v>
      </c>
      <c r="E64" s="4" t="s">
        <v>248</v>
      </c>
      <c r="F64" s="4" t="s">
        <v>220</v>
      </c>
      <c r="G64" s="4" t="n">
        <v>6</v>
      </c>
      <c r="H64" s="5" t="n">
        <v>5.5</v>
      </c>
      <c r="I64" s="4" t="s">
        <v>288</v>
      </c>
    </row>
    <row r="65" customFormat="false" ht="15" hidden="false" customHeight="false" outlineLevel="0" collapsed="false">
      <c r="A65" s="4" t="s">
        <v>187</v>
      </c>
      <c r="B65" s="4" t="n">
        <v>4</v>
      </c>
      <c r="C65" s="4" t="n">
        <v>56</v>
      </c>
      <c r="D65" s="4" t="s">
        <v>289</v>
      </c>
      <c r="E65" s="4"/>
      <c r="F65" s="4" t="s">
        <v>226</v>
      </c>
      <c r="G65" s="4" t="n">
        <v>9</v>
      </c>
      <c r="H65" s="5" t="n">
        <v>7.8</v>
      </c>
      <c r="I65" s="4" t="s">
        <v>290</v>
      </c>
    </row>
    <row r="66" customFormat="false" ht="15" hidden="false" customHeight="false" outlineLevel="0" collapsed="false">
      <c r="A66" s="4" t="s">
        <v>190</v>
      </c>
      <c r="B66" s="4" t="n">
        <v>4</v>
      </c>
      <c r="C66" s="4" t="n">
        <v>56</v>
      </c>
      <c r="D66" s="4" t="s">
        <v>289</v>
      </c>
      <c r="E66" s="4"/>
      <c r="F66" s="4" t="s">
        <v>217</v>
      </c>
      <c r="G66" s="4" t="n">
        <v>3</v>
      </c>
      <c r="H66" s="5" t="n">
        <v>3.3</v>
      </c>
      <c r="I66" s="4" t="s">
        <v>291</v>
      </c>
    </row>
    <row r="67" customFormat="false" ht="15" hidden="false" customHeight="false" outlineLevel="0" collapsed="false">
      <c r="A67" s="4" t="s">
        <v>193</v>
      </c>
      <c r="B67" s="4" t="n">
        <v>4</v>
      </c>
      <c r="C67" s="4" t="n">
        <v>56</v>
      </c>
      <c r="D67" s="4" t="s">
        <v>289</v>
      </c>
      <c r="E67" s="4"/>
      <c r="F67" s="4" t="s">
        <v>209</v>
      </c>
      <c r="G67" s="4" t="n">
        <v>4</v>
      </c>
      <c r="H67" s="5" t="n">
        <v>3.9</v>
      </c>
      <c r="I67" s="4"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40"/>
    <col collapsed="false" customWidth="true" hidden="false" outlineLevel="0" max="6" min="5" style="0" width="12"/>
    <col collapsed="false" customWidth="true" hidden="false" outlineLevel="0" max="7" min="7" style="0" width="14"/>
  </cols>
  <sheetData>
    <row r="1" customFormat="false" ht="23.85" hidden="false" customHeight="false" outlineLevel="0" collapsed="false">
      <c r="A1" s="1" t="s">
        <v>196</v>
      </c>
      <c r="B1" s="1" t="s">
        <v>198</v>
      </c>
      <c r="C1" s="1" t="s">
        <v>292</v>
      </c>
      <c r="D1" s="1" t="s">
        <v>293</v>
      </c>
      <c r="E1" s="1" t="s">
        <v>294</v>
      </c>
      <c r="F1" s="1" t="s">
        <v>295</v>
      </c>
      <c r="G1" s="1" t="s">
        <v>296</v>
      </c>
    </row>
    <row r="2" customFormat="false" ht="15" hidden="false" customHeight="false" outlineLevel="0" collapsed="false">
      <c r="A2" s="3" t="n">
        <v>1</v>
      </c>
      <c r="B2" s="3" t="s">
        <v>297</v>
      </c>
      <c r="C2" s="3" t="s">
        <v>298</v>
      </c>
      <c r="D2" s="3" t="s">
        <v>299</v>
      </c>
      <c r="E2" s="6" t="n">
        <v>96</v>
      </c>
      <c r="F2" s="7" t="n">
        <f aca="false">SUMIF('Chi tiet'!$B$2:$B$67,A2,'Chi tiet'!$H$2:$H$67)</f>
        <v>86.2</v>
      </c>
      <c r="G2" s="7" t="n">
        <f aca="false">F2-E2</f>
        <v>-9.8</v>
      </c>
    </row>
    <row r="3" customFormat="false" ht="15" hidden="false" customHeight="false" outlineLevel="0" collapsed="false">
      <c r="A3" s="3" t="n">
        <v>2</v>
      </c>
      <c r="B3" s="3" t="s">
        <v>300</v>
      </c>
      <c r="C3" s="3" t="s">
        <v>301</v>
      </c>
      <c r="D3" s="3" t="s">
        <v>302</v>
      </c>
      <c r="E3" s="6" t="n">
        <v>88</v>
      </c>
      <c r="F3" s="7" t="n">
        <f aca="false">SUMIF('Chi tiet'!$B$2:$B$67,A3,'Chi tiet'!$H$2:$H$67)</f>
        <v>85.5</v>
      </c>
      <c r="G3" s="7" t="n">
        <f aca="false">F3-E3</f>
        <v>-2.5</v>
      </c>
    </row>
    <row r="4" customFormat="false" ht="23.85" hidden="false" customHeight="false" outlineLevel="0" collapsed="false">
      <c r="A4" s="3" t="n">
        <v>3</v>
      </c>
      <c r="B4" s="3" t="s">
        <v>303</v>
      </c>
      <c r="C4" s="3" t="s">
        <v>304</v>
      </c>
      <c r="D4" s="3" t="s">
        <v>305</v>
      </c>
      <c r="E4" s="6" t="n">
        <v>136</v>
      </c>
      <c r="F4" s="7" t="n">
        <f aca="false">SUMIF('Chi tiet'!$B$2:$B$67,A4,'Chi tiet'!$H$2:$H$67)</f>
        <v>129.9</v>
      </c>
      <c r="G4" s="7" t="n">
        <f aca="false">F4-E4</f>
        <v>-6.09999999999999</v>
      </c>
    </row>
    <row r="5" customFormat="false" ht="23.85" hidden="false" customHeight="false" outlineLevel="0" collapsed="false">
      <c r="A5" s="3" t="n">
        <v>4</v>
      </c>
      <c r="B5" s="3" t="s">
        <v>306</v>
      </c>
      <c r="C5" s="3" t="s">
        <v>307</v>
      </c>
      <c r="D5" s="3" t="s">
        <v>308</v>
      </c>
      <c r="E5" s="6" t="n">
        <v>128</v>
      </c>
      <c r="F5" s="7" t="n">
        <f aca="false">SUMIF('Chi tiet'!$B$2:$B$67,A5,'Chi tiet'!$H$2:$H$67)</f>
        <v>138.6</v>
      </c>
      <c r="G5" s="7" t="n">
        <f aca="false">F5-E5</f>
        <v>10.6</v>
      </c>
    </row>
    <row r="6" customFormat="false" ht="15" hidden="false" customHeight="false" outlineLevel="0" collapsed="false">
      <c r="A6" s="8"/>
      <c r="B6" s="8" t="s">
        <v>309</v>
      </c>
      <c r="C6" s="8"/>
      <c r="D6" s="8"/>
      <c r="E6" s="8" t="n">
        <f aca="false">SUM(E2:E5)</f>
        <v>448</v>
      </c>
      <c r="F6" s="9" t="n">
        <f aca="false">SUM(F2:F5)</f>
        <v>440.2</v>
      </c>
      <c r="G6" s="9" t="n">
        <f aca="false">F6-E6</f>
        <v>-7.79999999999995</v>
      </c>
    </row>
    <row r="8" customFormat="false" ht="15" hidden="false" customHeight="false" outlineLevel="0" collapsed="false">
      <c r="B8" s="10"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36"/>
    <col collapsed="false" customWidth="true" hidden="false" outlineLevel="0" max="4" min="4" style="0" width="70"/>
    <col collapsed="false" customWidth="true" hidden="false" outlineLevel="0" max="5" min="5" style="0" width="36"/>
  </cols>
  <sheetData>
    <row r="1" customFormat="false" ht="23.85" hidden="false" customHeight="false" outlineLevel="0" collapsed="false">
      <c r="A1" s="1" t="s">
        <v>311</v>
      </c>
      <c r="B1" s="1" t="s">
        <v>312</v>
      </c>
      <c r="C1" s="1" t="s">
        <v>313</v>
      </c>
      <c r="D1" s="1" t="s">
        <v>314</v>
      </c>
      <c r="E1" s="1" t="s">
        <v>315</v>
      </c>
    </row>
    <row r="2" customFormat="false" ht="102.2" hidden="false" customHeight="false" outlineLevel="0" collapsed="false">
      <c r="A2" s="3" t="s">
        <v>217</v>
      </c>
      <c r="B2" s="3" t="s">
        <v>316</v>
      </c>
      <c r="C2" s="3" t="s">
        <v>317</v>
      </c>
      <c r="D2" s="3" t="s">
        <v>318</v>
      </c>
      <c r="E2" s="3" t="s">
        <v>319</v>
      </c>
    </row>
    <row r="3" customFormat="false" ht="23.85" hidden="false" customHeight="false" outlineLevel="0" collapsed="false">
      <c r="A3" s="3" t="s">
        <v>220</v>
      </c>
      <c r="B3" s="3" t="s">
        <v>320</v>
      </c>
      <c r="C3" s="3" t="s">
        <v>321</v>
      </c>
      <c r="D3" s="3" t="s">
        <v>322</v>
      </c>
      <c r="E3" s="3" t="s">
        <v>323</v>
      </c>
    </row>
    <row r="4" customFormat="false" ht="23.85" hidden="false" customHeight="false" outlineLevel="0" collapsed="false">
      <c r="A4" s="3" t="s">
        <v>226</v>
      </c>
      <c r="B4" s="3" t="s">
        <v>324</v>
      </c>
      <c r="C4" s="3" t="s">
        <v>325</v>
      </c>
      <c r="D4" s="3" t="s">
        <v>326</v>
      </c>
      <c r="E4" s="3" t="s">
        <v>327</v>
      </c>
    </row>
    <row r="5" customFormat="false" ht="35.05" hidden="false" customHeight="false" outlineLevel="0" collapsed="false">
      <c r="A5" s="3" t="s">
        <v>224</v>
      </c>
      <c r="B5" s="3" t="s">
        <v>328</v>
      </c>
      <c r="C5" s="3" t="s">
        <v>329</v>
      </c>
      <c r="D5" s="3" t="s">
        <v>330</v>
      </c>
      <c r="E5" s="3" t="s">
        <v>327</v>
      </c>
    </row>
    <row r="6" customFormat="false" ht="46.25" hidden="false" customHeight="false" outlineLevel="0" collapsed="false">
      <c r="A6" s="3" t="s">
        <v>209</v>
      </c>
      <c r="B6" s="3" t="s">
        <v>331</v>
      </c>
      <c r="C6" s="3" t="s">
        <v>332</v>
      </c>
      <c r="D6" s="3" t="s">
        <v>333</v>
      </c>
      <c r="E6" s="3" t="s">
        <v>334</v>
      </c>
    </row>
    <row r="7" customFormat="false" ht="23.85" hidden="false" customHeight="false" outlineLevel="0" collapsed="false">
      <c r="A7" s="3" t="s">
        <v>206</v>
      </c>
      <c r="B7" s="3" t="s">
        <v>335</v>
      </c>
      <c r="C7" s="3" t="s">
        <v>336</v>
      </c>
      <c r="D7" s="3" t="s">
        <v>337</v>
      </c>
      <c r="E7" s="3" t="s">
        <v>327</v>
      </c>
    </row>
    <row r="9" customFormat="false" ht="15" hidden="false" customHeight="false" outlineLevel="0" collapsed="false">
      <c r="A9" s="11" t="s">
        <v>338</v>
      </c>
      <c r="C9" s="12"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 collapsed="false" customWidth="true" hidden="false" outlineLevel="0" max="3" min="3" style="0" width="24"/>
  </cols>
  <sheetData>
    <row r="1" customFormat="false" ht="15" hidden="false" customHeight="false" outlineLevel="0" collapsed="false">
      <c r="A1" s="1" t="s">
        <v>340</v>
      </c>
      <c r="B1" s="1" t="s">
        <v>341</v>
      </c>
      <c r="C1" s="1" t="s">
        <v>1</v>
      </c>
    </row>
    <row r="2" customFormat="false" ht="15" hidden="false" customHeight="false" outlineLevel="0" collapsed="false">
      <c r="A2" s="3" t="s">
        <v>342</v>
      </c>
      <c r="B2" s="3" t="s">
        <v>343</v>
      </c>
      <c r="C2" s="3" t="s">
        <v>344</v>
      </c>
    </row>
    <row r="3" customFormat="false" ht="15" hidden="false" customHeight="false" outlineLevel="0" collapsed="false">
      <c r="A3" s="3" t="s">
        <v>345</v>
      </c>
      <c r="B3" s="3" t="s">
        <v>346</v>
      </c>
      <c r="C3" s="3" t="s">
        <v>347</v>
      </c>
    </row>
    <row r="4" customFormat="false" ht="15" hidden="false" customHeight="false" outlineLevel="0" collapsed="false">
      <c r="A4" s="3" t="s">
        <v>348</v>
      </c>
      <c r="B4" s="3" t="s">
        <v>349</v>
      </c>
      <c r="C4" s="3" t="s">
        <v>38</v>
      </c>
    </row>
    <row r="5" customFormat="false" ht="23.85" hidden="false" customHeight="false" outlineLevel="0" collapsed="false">
      <c r="A5" s="3" t="s">
        <v>350</v>
      </c>
      <c r="B5" s="3" t="s">
        <v>351</v>
      </c>
      <c r="C5" s="3" t="s">
        <v>352</v>
      </c>
    </row>
    <row r="6" customFormat="false" ht="23.85" hidden="false" customHeight="false" outlineLevel="0" collapsed="false">
      <c r="A6" s="3" t="s">
        <v>353</v>
      </c>
      <c r="B6" s="3" t="s">
        <v>354</v>
      </c>
      <c r="C6" s="3" t="s">
        <v>355</v>
      </c>
    </row>
    <row r="7" customFormat="false" ht="15" hidden="false" customHeight="false" outlineLevel="0" collapsed="false">
      <c r="A7" s="3" t="s">
        <v>356</v>
      </c>
      <c r="B7" s="3" t="s">
        <v>357</v>
      </c>
      <c r="C7" s="3"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0"/>
  </cols>
  <sheetData>
    <row r="1" customFormat="false" ht="15" hidden="false" customHeight="false" outlineLevel="0" collapsed="false">
      <c r="A1" s="1" t="s">
        <v>359</v>
      </c>
      <c r="B1" s="1" t="s">
        <v>360</v>
      </c>
    </row>
    <row r="2" customFormat="false" ht="15" hidden="false" customHeight="false" outlineLevel="0" collapsed="false">
      <c r="A2" s="3" t="s">
        <v>361</v>
      </c>
      <c r="B2" s="3" t="s">
        <v>362</v>
      </c>
    </row>
    <row r="3" customFormat="false" ht="15" hidden="false" customHeight="false" outlineLevel="0" collapsed="false">
      <c r="A3" s="3" t="s">
        <v>363</v>
      </c>
      <c r="B3" s="3" t="s">
        <v>364</v>
      </c>
    </row>
    <row r="4" customFormat="false" ht="15" hidden="false" customHeight="false" outlineLevel="0" collapsed="false">
      <c r="A4" s="3" t="s">
        <v>365</v>
      </c>
      <c r="B4" s="3" t="s">
        <v>366</v>
      </c>
    </row>
    <row r="5" customFormat="false" ht="15" hidden="false" customHeight="false" outlineLevel="0" collapsed="false">
      <c r="A5" s="3" t="s">
        <v>367</v>
      </c>
      <c r="B5" s="3" t="s">
        <v>368</v>
      </c>
    </row>
    <row r="6" customFormat="false" ht="15" hidden="false" customHeight="false" outlineLevel="0" collapsed="false">
      <c r="A6" s="3" t="s">
        <v>369</v>
      </c>
      <c r="B6" s="3" t="s">
        <v>370</v>
      </c>
    </row>
    <row r="7" customFormat="false" ht="15" hidden="false" customHeight="false" outlineLevel="0" collapsed="false">
      <c r="A7" s="3" t="s">
        <v>371</v>
      </c>
      <c r="B7" s="3" t="s">
        <v>372</v>
      </c>
    </row>
    <row r="8" customFormat="false" ht="15" hidden="false" customHeight="false" outlineLevel="0" collapsed="false">
      <c r="A8" s="3" t="s">
        <v>373</v>
      </c>
      <c r="B8" s="3" t="s">
        <v>374</v>
      </c>
    </row>
    <row r="9" customFormat="false" ht="15" hidden="false" customHeight="false" outlineLevel="0" collapsed="false">
      <c r="A9" s="3" t="s">
        <v>375</v>
      </c>
      <c r="B9" s="3" t="s">
        <v>376</v>
      </c>
    </row>
    <row r="10" customFormat="false" ht="15" hidden="false" customHeight="false" outlineLevel="0" collapsed="false">
      <c r="A10" s="3" t="s">
        <v>377</v>
      </c>
      <c r="B10" s="3" t="s">
        <v>378</v>
      </c>
    </row>
    <row r="12" customFormat="false" ht="41.75" hidden="false" customHeight="false" outlineLevel="0" collapsed="false">
      <c r="A12" s="11" t="s">
        <v>379</v>
      </c>
      <c r="B12" s="13" t="s">
        <v>380</v>
      </c>
    </row>
    <row r="13" customFormat="false" ht="15" hidden="false" customHeight="false" outlineLevel="0" collapsed="false">
      <c r="B13" s="0" t="s">
        <v>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4" t="s">
        <v>382</v>
      </c>
    </row>
    <row r="2" customFormat="false" ht="15" hidden="false" customHeight="false" outlineLevel="0" collapsed="false">
      <c r="A2" s="15" t="s">
        <v>383</v>
      </c>
    </row>
    <row r="3" customFormat="false" ht="15" hidden="false" customHeight="false" outlineLevel="0" collapsed="false">
      <c r="A3" s="15" t="s">
        <v>384</v>
      </c>
    </row>
    <row r="4" customFormat="false" ht="15" hidden="false" customHeight="false" outlineLevel="0" collapsed="false">
      <c r="A4" s="15" t="s">
        <v>385</v>
      </c>
    </row>
    <row r="5" customFormat="false" ht="15" hidden="false" customHeight="false" outlineLevel="0" collapsed="false">
      <c r="A5" s="15" t="s">
        <v>386</v>
      </c>
    </row>
    <row r="6" customFormat="false" ht="15" hidden="false" customHeight="false" outlineLevel="0" collapsed="false">
      <c r="A6" s="15" t="s">
        <v>387</v>
      </c>
    </row>
    <row r="7" customFormat="false" ht="15" hidden="false" customHeight="false" outlineLevel="0" collapsed="false">
      <c r="A7" s="15"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2026-10-08T08:13:55Z</dcterms:created>
  <dc:creator>openpyxl</dc:creator>
  <dc:description/>
  <dc:language>en-US</dc:language>
  <cp:lastModifiedBy/>
  <dcterms:modified xsi:type="dcterms:W3CDTF">2026-10-08T08:13:55Z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